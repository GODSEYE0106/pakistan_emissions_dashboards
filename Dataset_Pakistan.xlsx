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defaultThemeVersion="166925"/>
  <mc:AlternateContent xmlns:mc="http://schemas.openxmlformats.org/markup-compatibility/2006">
    <mc:Choice Requires="x15">
      <x15ac:absPath xmlns:x15ac="http://schemas.microsoft.com/office/spreadsheetml/2010/11/ac" url="C:\Users\jeelm\OneDrive\Desktop\TISS\Semester 4\Climate Change, Sustainability and development\Assignment_1\"/>
    </mc:Choice>
  </mc:AlternateContent>
  <xr:revisionPtr revIDLastSave="0" documentId="13_ncr:1_{9C076C82-A811-4001-922D-2FD19FC8140D}" xr6:coauthVersionLast="47" xr6:coauthVersionMax="47" xr10:uidLastSave="{00000000-0000-0000-0000-000000000000}"/>
  <bookViews>
    <workbookView xWindow="-108" yWindow="-108" windowWidth="23256" windowHeight="12456" activeTab="7" xr2:uid="{65E2DBAE-FF03-4746-A780-281550266010}"/>
  </bookViews>
  <sheets>
    <sheet name="1ST" sheetId="9" r:id="rId1"/>
    <sheet name="2ND" sheetId="10" r:id="rId2"/>
    <sheet name="3RD" sheetId="11" r:id="rId3"/>
    <sheet name="4TH" sheetId="13" r:id="rId4"/>
    <sheet name="5TH" sheetId="17" r:id="rId5"/>
    <sheet name="PAK" sheetId="1" r:id="rId6"/>
    <sheet name="MASTER" sheetId="5" r:id="rId7"/>
    <sheet name="DASHBOARD" sheetId="4" r:id="rId8"/>
  </sheets>
  <externalReferences>
    <externalReference r:id="rId9"/>
  </externalReferences>
  <definedNames>
    <definedName name="Slicer_Year1">#N/A</definedName>
  </definedNames>
  <calcPr calcId="191029"/>
  <pivotCaches>
    <pivotCache cacheId="0" r:id="rId10"/>
    <pivotCache cacheId="1"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27" i="5" l="1"/>
  <c r="G127" i="5"/>
  <c r="J126" i="5"/>
  <c r="G126" i="5"/>
  <c r="J125" i="5"/>
  <c r="G125" i="5"/>
  <c r="J124" i="5"/>
  <c r="G124" i="5"/>
  <c r="J123" i="5"/>
  <c r="G123" i="5"/>
  <c r="J122" i="5"/>
  <c r="G122" i="5"/>
  <c r="J121" i="5"/>
  <c r="G121" i="5"/>
  <c r="J120" i="5"/>
  <c r="G120" i="5"/>
  <c r="J119" i="5"/>
  <c r="G119" i="5"/>
  <c r="J118" i="5"/>
  <c r="G118" i="5"/>
  <c r="J117" i="5"/>
  <c r="G117" i="5"/>
  <c r="J116" i="5"/>
  <c r="G116" i="5"/>
  <c r="J115" i="5"/>
  <c r="G115" i="5"/>
  <c r="J114" i="5"/>
  <c r="G114" i="5"/>
  <c r="J113" i="5"/>
  <c r="G113" i="5"/>
  <c r="J112" i="5"/>
  <c r="G112" i="5"/>
  <c r="J111" i="5"/>
  <c r="G111" i="5"/>
  <c r="J110" i="5"/>
  <c r="G110" i="5"/>
  <c r="J109" i="5"/>
  <c r="G109" i="5"/>
  <c r="J108" i="5"/>
  <c r="G108" i="5"/>
  <c r="J107" i="5"/>
  <c r="G107" i="5"/>
  <c r="J106" i="5"/>
  <c r="G106" i="5"/>
  <c r="J105" i="5"/>
  <c r="G105" i="5"/>
  <c r="J104" i="5"/>
  <c r="G104" i="5"/>
  <c r="J103" i="5"/>
  <c r="G103" i="5"/>
  <c r="J102" i="5"/>
  <c r="G102" i="5"/>
  <c r="J101" i="5"/>
  <c r="G101" i="5"/>
  <c r="J100" i="5"/>
  <c r="G100" i="5"/>
  <c r="J99" i="5"/>
  <c r="G99" i="5"/>
  <c r="J98" i="5"/>
  <c r="G98" i="5"/>
  <c r="J97" i="5"/>
  <c r="G97" i="5"/>
  <c r="J96" i="5"/>
  <c r="G96" i="5"/>
  <c r="J95" i="5"/>
  <c r="G95" i="5"/>
  <c r="J94" i="5"/>
  <c r="G94" i="5"/>
  <c r="J93" i="5"/>
  <c r="G93" i="5"/>
  <c r="J92" i="5"/>
  <c r="G92" i="5"/>
  <c r="J91" i="5"/>
  <c r="G91" i="5"/>
  <c r="J90" i="5"/>
  <c r="G90" i="5"/>
  <c r="J89" i="5"/>
  <c r="G89" i="5"/>
  <c r="J88" i="5"/>
  <c r="G88" i="5"/>
  <c r="J87" i="5"/>
  <c r="G87" i="5"/>
  <c r="J86" i="5"/>
  <c r="G86" i="5"/>
  <c r="J85" i="5"/>
  <c r="G85" i="5"/>
  <c r="J84" i="5"/>
  <c r="G84" i="5"/>
  <c r="J83" i="5"/>
  <c r="G83" i="5"/>
  <c r="J82" i="5"/>
  <c r="G82" i="5"/>
  <c r="J81" i="5"/>
  <c r="G81" i="5"/>
  <c r="J80" i="5"/>
  <c r="G80" i="5"/>
  <c r="J79" i="5"/>
  <c r="G79" i="5"/>
  <c r="J78" i="5"/>
  <c r="G78" i="5"/>
  <c r="J77" i="5"/>
  <c r="G77" i="5"/>
  <c r="J76" i="5"/>
  <c r="G76" i="5"/>
  <c r="J75" i="5"/>
  <c r="G75" i="5"/>
  <c r="J74" i="5"/>
  <c r="G74" i="5"/>
  <c r="J73" i="5"/>
  <c r="G73" i="5"/>
  <c r="J72" i="5"/>
  <c r="G72" i="5"/>
  <c r="J71" i="5"/>
  <c r="G71" i="5"/>
  <c r="J70" i="5"/>
  <c r="G70" i="5"/>
  <c r="J69" i="5"/>
  <c r="G69" i="5"/>
  <c r="J68" i="5"/>
  <c r="G68" i="5"/>
  <c r="J67" i="5"/>
  <c r="G67" i="5"/>
  <c r="J66" i="5"/>
  <c r="G66" i="5"/>
  <c r="J65" i="5"/>
  <c r="G65" i="5"/>
  <c r="J64" i="5"/>
  <c r="G64" i="5"/>
  <c r="J63" i="5"/>
  <c r="G63" i="5"/>
  <c r="J62" i="5"/>
  <c r="G62" i="5"/>
  <c r="J61" i="5"/>
  <c r="G61" i="5"/>
  <c r="J60" i="5"/>
  <c r="G60" i="5"/>
  <c r="J59" i="5"/>
  <c r="G59" i="5"/>
  <c r="J58" i="5"/>
  <c r="G58" i="5"/>
  <c r="J57" i="5"/>
  <c r="G57" i="5"/>
  <c r="J56" i="5"/>
  <c r="G56" i="5"/>
  <c r="J55" i="5"/>
  <c r="G55" i="5"/>
  <c r="J54" i="5"/>
  <c r="G54" i="5"/>
  <c r="J53" i="5"/>
  <c r="G53" i="5"/>
  <c r="J52" i="5"/>
  <c r="G52" i="5"/>
  <c r="J51" i="5"/>
  <c r="G51" i="5"/>
  <c r="J50" i="5"/>
  <c r="G50" i="5"/>
  <c r="J49" i="5"/>
  <c r="G49" i="5"/>
  <c r="J48" i="5"/>
  <c r="G48" i="5"/>
  <c r="J47" i="5"/>
  <c r="G47" i="5"/>
  <c r="J46" i="5"/>
  <c r="G46" i="5"/>
  <c r="J45" i="5"/>
  <c r="G45" i="5"/>
  <c r="J44" i="5"/>
  <c r="G44" i="5"/>
  <c r="J43" i="5"/>
  <c r="G43" i="5"/>
  <c r="J42" i="5"/>
  <c r="G42" i="5"/>
  <c r="J41" i="5"/>
  <c r="G41" i="5"/>
  <c r="J40" i="5"/>
  <c r="G40" i="5"/>
  <c r="J39" i="5"/>
  <c r="G39" i="5"/>
  <c r="J38" i="5"/>
  <c r="G38" i="5"/>
  <c r="J37" i="5"/>
  <c r="G37" i="5"/>
  <c r="J36" i="5"/>
  <c r="G36" i="5"/>
  <c r="J35" i="5"/>
  <c r="G35" i="5"/>
  <c r="J34" i="5"/>
  <c r="G34" i="5"/>
  <c r="J33" i="5"/>
  <c r="G33" i="5"/>
  <c r="J32" i="5"/>
  <c r="G32" i="5"/>
  <c r="J31" i="5"/>
  <c r="G31" i="5"/>
  <c r="J30" i="5"/>
  <c r="G30" i="5"/>
  <c r="J29" i="5"/>
  <c r="G29" i="5"/>
  <c r="J28" i="5"/>
  <c r="G28" i="5"/>
  <c r="J27" i="5"/>
  <c r="G27" i="5"/>
  <c r="J26" i="5"/>
  <c r="G26" i="5"/>
  <c r="J25" i="5"/>
  <c r="G25" i="5"/>
  <c r="J24" i="5"/>
  <c r="G24" i="5"/>
  <c r="J23" i="5"/>
  <c r="G23" i="5"/>
  <c r="J22" i="5"/>
  <c r="G22" i="5"/>
  <c r="J21" i="5"/>
  <c r="G21" i="5"/>
  <c r="J20" i="5"/>
  <c r="G20" i="5"/>
  <c r="J19" i="5"/>
  <c r="G19" i="5"/>
  <c r="J18" i="5"/>
  <c r="G18" i="5"/>
  <c r="J17" i="5"/>
  <c r="G17" i="5"/>
  <c r="J16" i="5"/>
  <c r="G16" i="5"/>
  <c r="J15" i="5"/>
  <c r="G15" i="5"/>
  <c r="J14" i="5"/>
  <c r="G14" i="5"/>
  <c r="J13" i="5"/>
  <c r="G13" i="5"/>
  <c r="J12" i="5"/>
  <c r="G12" i="5"/>
  <c r="J11" i="5"/>
  <c r="G11" i="5"/>
  <c r="J10" i="5"/>
  <c r="G10" i="5"/>
  <c r="J9" i="5"/>
  <c r="G9" i="5"/>
  <c r="J8" i="5"/>
  <c r="G8" i="5"/>
  <c r="J7" i="5"/>
  <c r="G7" i="5"/>
  <c r="J6" i="5"/>
  <c r="G6" i="5"/>
  <c r="J5" i="5"/>
  <c r="G5" i="5"/>
  <c r="J4" i="5"/>
  <c r="G4" i="5"/>
  <c r="J3" i="5"/>
  <c r="G3" i="5"/>
  <c r="J2" i="5"/>
  <c r="G2" i="5"/>
</calcChain>
</file>

<file path=xl/sharedStrings.xml><?xml version="1.0" encoding="utf-8"?>
<sst xmlns="http://schemas.openxmlformats.org/spreadsheetml/2006/main" count="326" uniqueCount="67">
  <si>
    <t>Pakistan — CO₂ Emissions &amp; Development Dataset (2000–2020)</t>
  </si>
  <si>
    <t>Sources: Our World in Data (2023); World Bank (2023); Global Carbon Project (2023)</t>
  </si>
  <si>
    <t>Year</t>
  </si>
  <si>
    <t>Total CO₂ (Mt)
Pakistan</t>
  </si>
  <si>
    <t>Per Capita (t)
Pakistan</t>
  </si>
  <si>
    <t>GDP/Capita ($)
Pakistan</t>
  </si>
  <si>
    <t>Global Share (%)
Pakistan</t>
  </si>
  <si>
    <t>Total CO₂ (Mt)
India</t>
  </si>
  <si>
    <t>Per Capita (t)
India</t>
  </si>
  <si>
    <t>Share (%)
India</t>
  </si>
  <si>
    <t>World Avg
Per Capita (t)</t>
  </si>
  <si>
    <t>Row Labels</t>
  </si>
  <si>
    <t>Grand Total</t>
  </si>
  <si>
    <t>Sum of Total CO₂ (Mt)
Pakistan</t>
  </si>
  <si>
    <t>Sum of Per Capita (t)
Pakistan</t>
  </si>
  <si>
    <t>Bangladesh</t>
  </si>
  <si>
    <t>BGD</t>
  </si>
  <si>
    <t>China</t>
  </si>
  <si>
    <t>CHN</t>
  </si>
  <si>
    <t>India</t>
  </si>
  <si>
    <t>IND</t>
  </si>
  <si>
    <t>Pakistan</t>
  </si>
  <si>
    <t>PAK</t>
  </si>
  <si>
    <t>United States</t>
  </si>
  <si>
    <t>USA</t>
  </si>
  <si>
    <t>World</t>
  </si>
  <si>
    <t>OWID_WRL</t>
  </si>
  <si>
    <t>Country</t>
  </si>
  <si>
    <t>Code</t>
  </si>
  <si>
    <t>Annual CO2 emissions</t>
  </si>
  <si>
    <t>Population, total</t>
  </si>
  <si>
    <t>GDP per capita (current US$)</t>
  </si>
  <si>
    <t xml:space="preserve">Per Capita CO2 emissions </t>
  </si>
  <si>
    <t>Share of global annual CO2 emissions (%)</t>
  </si>
  <si>
    <t>Annual greenhouse gas emissions including land use</t>
  </si>
  <si>
    <t>GDP</t>
  </si>
  <si>
    <t xml:space="preserve">Sum of Per Capita CO2 emissions </t>
  </si>
  <si>
    <t>Sum of Share (%)
India</t>
  </si>
  <si>
    <t>Sum of Global Share (%)
Pakistan</t>
  </si>
  <si>
    <t>Cross-Country Comparison — 2020</t>
  </si>
  <si>
    <t>Per Capita CO₂ (t)</t>
  </si>
  <si>
    <t>Total CO₂ (Mt)</t>
  </si>
  <si>
    <t>Global Share (%)</t>
  </si>
  <si>
    <t>GDP per Capita ($)</t>
  </si>
  <si>
    <t>GDP/cap (scatter)</t>
  </si>
  <si>
    <t>PerCap (scatter)</t>
  </si>
  <si>
    <t>World Average</t>
  </si>
  <si>
    <t>PAKISTAN — CLIMATE &amp; EMISSIONS DASHBOARD  |  2000–2020</t>
  </si>
  <si>
    <t>BS in Analytics and Sustainability Studies · Assignment I · Tata Institute of Social Sciences, Mumbai</t>
  </si>
  <si>
    <t>Total CO₂ Emissions (Mt)
2020</t>
  </si>
  <si>
    <t>Per Capita CO₂ (t/person)
2020</t>
  </si>
  <si>
    <t>Global CO₂ Share (%)
2020</t>
  </si>
  <si>
    <t>GDP per Capita (USD)
2020</t>
  </si>
  <si>
    <t>215.5 Mt</t>
  </si>
  <si>
    <t>0.92 t</t>
  </si>
  <si>
    <t>0.66%</t>
  </si>
  <si>
    <t>$1,278</t>
  </si>
  <si>
    <t>↑ 107% since 2000 | Coal surge post-2016</t>
  </si>
  <si>
    <t>21% of World Avg (4.48 t)</t>
  </si>
  <si>
    <t>Emits below its pop. share (~3%)</t>
  </si>
  <si>
    <t>Low emitter; high vulnerability</t>
  </si>
  <si>
    <t>Fig. 1 — Total CO₂ Emissions (Mt): Pakistan (2000–2020)</t>
  </si>
  <si>
    <t>Fig. 2 — Per Capita CO₂ Emissions (t/person): Pakistan (2000–2020)</t>
  </si>
  <si>
    <t>Fig. 4 — Share of Global CO₂: Pakistan vs India (2000–2020)</t>
  </si>
  <si>
    <t>Fig. 5 — GDP per Capita (USD) vs Per Capita CO₂ (t/person) — 2020</t>
  </si>
  <si>
    <t>Fig. 3 — Avg. Per Capita CO₂ (t/person): Country Comparison</t>
  </si>
  <si>
    <t>Source: OWID and World Bank Dataset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</si>
</sst>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2" x14ac:knownFonts="1">
    <font>
      <sz val="11"/>
      <color theme="1"/>
      <name val="Calibri"/>
      <family val="2"/>
      <scheme val="minor"/>
    </font>
    <font>
      <b/>
      <sz val="13"/>
      <color rgb="FFFFFFFF"/>
      <name val="Calibri"/>
      <family val="2"/>
    </font>
    <font>
      <i/>
      <sz val="9"/>
      <color rgb="FF555555"/>
      <name val="Calibri"/>
      <family val="2"/>
    </font>
    <font>
      <b/>
      <sz val="10"/>
      <color rgb="FFFFFFFF"/>
      <name val="Calibri"/>
      <family val="2"/>
    </font>
    <font>
      <b/>
      <sz val="10"/>
      <color rgb="FF1E5631"/>
      <name val="Calibri"/>
      <family val="2"/>
    </font>
    <font>
      <sz val="10"/>
      <color rgb="FF000000"/>
      <name val="Calibri"/>
      <family val="2"/>
    </font>
    <font>
      <b/>
      <sz val="14"/>
      <name val="Calibri"/>
      <family val="2"/>
      <scheme val="minor"/>
    </font>
    <font>
      <b/>
      <sz val="10"/>
      <color rgb="FFC00000"/>
      <name val="Calibri"/>
      <family val="2"/>
    </font>
    <font>
      <b/>
      <sz val="20"/>
      <color rgb="FFFFFFFF"/>
      <name val="Calibri"/>
      <family val="2"/>
    </font>
    <font>
      <sz val="20"/>
      <color theme="1"/>
      <name val="Calibri"/>
      <family val="2"/>
      <scheme val="minor"/>
    </font>
    <font>
      <b/>
      <sz val="18"/>
      <color rgb="FF1E5631"/>
      <name val="Calibri"/>
      <family val="2"/>
    </font>
    <font>
      <b/>
      <sz val="18"/>
      <color rgb="FF1A6B34"/>
      <name val="Calibri"/>
      <family val="2"/>
    </font>
    <font>
      <b/>
      <sz val="18"/>
      <color rgb="FF196F3D"/>
      <name val="Calibri"/>
      <family val="2"/>
    </font>
    <font>
      <b/>
      <sz val="18"/>
      <color rgb="FF145A32"/>
      <name val="Calibri"/>
      <family val="2"/>
    </font>
    <font>
      <sz val="18"/>
      <color theme="1"/>
      <name val="Calibri"/>
      <family val="2"/>
      <scheme val="minor"/>
    </font>
    <font>
      <b/>
      <sz val="12"/>
      <color rgb="FFFFFFFF"/>
      <name val="Calibri"/>
      <family val="2"/>
    </font>
    <font>
      <sz val="12"/>
      <color theme="1"/>
      <name val="Calibri"/>
      <family val="2"/>
      <scheme val="minor"/>
    </font>
    <font>
      <i/>
      <sz val="11"/>
      <color rgb="FFAAD5B5"/>
      <name val="Calibri"/>
      <family val="2"/>
    </font>
    <font>
      <b/>
      <i/>
      <sz val="14"/>
      <color theme="9" tint="-0.249977111117893"/>
      <name val="Times New Roman"/>
      <family val="1"/>
    </font>
    <font>
      <sz val="14"/>
      <color theme="1"/>
      <name val="Calibri"/>
      <family val="2"/>
      <scheme val="minor"/>
    </font>
    <font>
      <b/>
      <sz val="16"/>
      <color rgb="FF1E5631"/>
      <name val="Calibri"/>
      <family val="2"/>
    </font>
    <font>
      <i/>
      <sz val="12"/>
      <color theme="9" tint="-0.249977111117893"/>
      <name val="Calibri"/>
      <family val="2"/>
    </font>
  </fonts>
  <fills count="21">
    <fill>
      <patternFill patternType="none"/>
    </fill>
    <fill>
      <patternFill patternType="gray125"/>
    </fill>
    <fill>
      <patternFill patternType="solid">
        <fgColor theme="0"/>
        <bgColor indexed="64"/>
      </patternFill>
    </fill>
    <fill>
      <patternFill patternType="solid">
        <fgColor rgb="FF1E5631"/>
        <bgColor rgb="FF003366"/>
      </patternFill>
    </fill>
    <fill>
      <patternFill patternType="solid">
        <fgColor rgb="FFEBF3FA"/>
        <bgColor rgb="FFF4F8FC"/>
      </patternFill>
    </fill>
    <fill>
      <patternFill patternType="solid">
        <fgColor rgb="FFFFFFFF"/>
        <bgColor rgb="FFF9F9F9"/>
      </patternFill>
    </fill>
    <fill>
      <patternFill patternType="solid">
        <fgColor theme="5"/>
        <bgColor indexed="64"/>
      </patternFill>
    </fill>
    <fill>
      <patternFill patternType="solid">
        <fgColor rgb="FFFF2929"/>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theme="4" tint="0.39997558519241921"/>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rgb="FF2E75B6"/>
        <bgColor rgb="FF0066CC"/>
      </patternFill>
    </fill>
    <fill>
      <patternFill patternType="solid">
        <fgColor rgb="FFFFF0F0"/>
        <bgColor rgb="FFF9F9F9"/>
      </patternFill>
    </fill>
    <fill>
      <patternFill patternType="solid">
        <fgColor rgb="FF163828"/>
        <bgColor rgb="FF003366"/>
      </patternFill>
    </fill>
    <fill>
      <patternFill patternType="solid">
        <fgColor rgb="FF2D7D46"/>
        <bgColor rgb="FF800000"/>
      </patternFill>
    </fill>
    <fill>
      <patternFill patternType="solid">
        <fgColor rgb="FF196F3D"/>
        <bgColor rgb="FF375623"/>
      </patternFill>
    </fill>
    <fill>
      <patternFill patternType="solid">
        <fgColor rgb="FF145A32"/>
        <bgColor rgb="FF800080"/>
      </patternFill>
    </fill>
    <fill>
      <patternFill patternType="solid">
        <fgColor rgb="FFE8F5E9"/>
        <bgColor rgb="FFF9F9F9"/>
      </patternFill>
    </fill>
    <fill>
      <patternFill patternType="solid">
        <fgColor theme="0" tint="-4.9989318521683403E-2"/>
        <bgColor indexed="64"/>
      </patternFill>
    </fill>
  </fills>
  <borders count="10">
    <border>
      <left/>
      <right/>
      <top/>
      <bottom/>
      <diagonal/>
    </border>
    <border>
      <left style="thin">
        <color rgb="FFCCCCCC"/>
      </left>
      <right style="thin">
        <color rgb="FFCCCCCC"/>
      </right>
      <top style="thin">
        <color rgb="FFCCCCCC"/>
      </top>
      <bottom style="thin">
        <color rgb="FFCCCCCC"/>
      </bottom>
      <diagonal/>
    </border>
    <border>
      <left style="thick">
        <color theme="9" tint="-0.249977111117893"/>
      </left>
      <right/>
      <top style="thick">
        <color theme="9" tint="-0.249977111117893"/>
      </top>
      <bottom style="thick">
        <color theme="9" tint="-0.249977111117893"/>
      </bottom>
      <diagonal/>
    </border>
    <border>
      <left/>
      <right/>
      <top style="thick">
        <color theme="9" tint="-0.249977111117893"/>
      </top>
      <bottom style="thick">
        <color theme="9" tint="-0.249977111117893"/>
      </bottom>
      <diagonal/>
    </border>
    <border>
      <left/>
      <right style="thick">
        <color theme="9" tint="-0.249977111117893"/>
      </right>
      <top style="thick">
        <color theme="9" tint="-0.249977111117893"/>
      </top>
      <bottom style="thick">
        <color theme="9" tint="-0.249977111117893"/>
      </bottom>
      <diagonal/>
    </border>
    <border>
      <left/>
      <right style="thick">
        <color theme="9" tint="-0.249977111117893"/>
      </right>
      <top/>
      <bottom/>
      <diagonal/>
    </border>
    <border>
      <left/>
      <right style="thick">
        <color theme="9" tint="-0.249977111117893"/>
      </right>
      <top/>
      <bottom style="thick">
        <color theme="9" tint="-0.249977111117893"/>
      </bottom>
      <diagonal/>
    </border>
    <border>
      <left/>
      <right/>
      <top style="thick">
        <color theme="9" tint="-0.249977111117893"/>
      </top>
      <bottom/>
      <diagonal/>
    </border>
    <border>
      <left style="thick">
        <color theme="9" tint="-0.249977111117893"/>
      </left>
      <right/>
      <top style="thick">
        <color theme="9" tint="-0.249977111117893"/>
      </top>
      <bottom/>
      <diagonal/>
    </border>
    <border>
      <left/>
      <right style="thick">
        <color theme="9" tint="-0.249977111117893"/>
      </right>
      <top style="thick">
        <color theme="9" tint="-0.249977111117893"/>
      </top>
      <bottom/>
      <diagonal/>
    </border>
  </borders>
  <cellStyleXfs count="1">
    <xf numFmtId="0" fontId="0" fillId="0" borderId="0"/>
  </cellStyleXfs>
  <cellXfs count="77">
    <xf numFmtId="0" fontId="0" fillId="0" borderId="0" xfId="0"/>
    <xf numFmtId="0" fontId="0" fillId="2" borderId="0" xfId="0" applyFill="1"/>
    <xf numFmtId="0" fontId="3" fillId="3"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2" fontId="5" fillId="4" borderId="1" xfId="0" applyNumberFormat="1" applyFont="1" applyFill="1" applyBorder="1" applyAlignment="1">
      <alignment horizontal="center" vertical="center" wrapText="1"/>
    </xf>
    <xf numFmtId="164" fontId="5" fillId="4" borderId="1" xfId="0" applyNumberFormat="1" applyFont="1" applyFill="1" applyBorder="1" applyAlignment="1">
      <alignment horizontal="center" vertical="center" wrapText="1"/>
    </xf>
    <xf numFmtId="3" fontId="5" fillId="4" borderId="1" xfId="0" applyNumberFormat="1" applyFont="1" applyFill="1" applyBorder="1" applyAlignment="1">
      <alignment horizontal="center" vertical="center" wrapText="1"/>
    </xf>
    <xf numFmtId="0" fontId="4" fillId="5" borderId="1" xfId="0" applyFont="1" applyFill="1" applyBorder="1" applyAlignment="1">
      <alignment horizontal="center" vertical="center" wrapText="1"/>
    </xf>
    <xf numFmtId="2" fontId="5" fillId="5" borderId="1" xfId="0" applyNumberFormat="1" applyFont="1" applyFill="1" applyBorder="1" applyAlignment="1">
      <alignment horizontal="center" vertical="center" wrapText="1"/>
    </xf>
    <xf numFmtId="164" fontId="5" fillId="5" borderId="1" xfId="0" applyNumberFormat="1" applyFont="1" applyFill="1" applyBorder="1" applyAlignment="1">
      <alignment horizontal="center" vertical="center" wrapText="1"/>
    </xf>
    <xf numFmtId="3" fontId="5" fillId="5" borderId="1" xfId="0" applyNumberFormat="1" applyFont="1" applyFill="1" applyBorder="1" applyAlignment="1">
      <alignment horizontal="center" vertical="center" wrapText="1"/>
    </xf>
    <xf numFmtId="0" fontId="0" fillId="0" borderId="0" xfId="0" pivotButton="1"/>
    <xf numFmtId="0" fontId="0" fillId="0" borderId="0" xfId="0" applyAlignment="1">
      <alignment horizontal="left"/>
    </xf>
    <xf numFmtId="0" fontId="6" fillId="12" borderId="0" xfId="0" applyFont="1" applyFill="1" applyAlignment="1">
      <alignment vertical="center" wrapText="1"/>
    </xf>
    <xf numFmtId="0" fontId="0" fillId="6" borderId="0" xfId="0" applyFill="1"/>
    <xf numFmtId="0" fontId="0" fillId="7" borderId="0" xfId="0" applyFill="1"/>
    <xf numFmtId="0" fontId="0" fillId="8" borderId="0" xfId="0" applyFill="1"/>
    <xf numFmtId="0" fontId="0" fillId="9" borderId="0" xfId="0" applyFill="1"/>
    <xf numFmtId="0" fontId="0" fillId="10" borderId="0" xfId="0" applyFill="1"/>
    <xf numFmtId="0" fontId="0" fillId="11" borderId="0" xfId="0" applyFill="1"/>
    <xf numFmtId="0" fontId="5" fillId="4" borderId="1" xfId="0" applyFont="1" applyFill="1" applyBorder="1" applyAlignment="1">
      <alignment horizontal="center" vertical="center" wrapText="1"/>
    </xf>
    <xf numFmtId="4" fontId="5" fillId="4" borderId="1" xfId="0" applyNumberFormat="1" applyFont="1" applyFill="1" applyBorder="1" applyAlignment="1">
      <alignment horizontal="center" vertical="center" wrapText="1"/>
    </xf>
    <xf numFmtId="0" fontId="5" fillId="5" borderId="1" xfId="0" applyFont="1" applyFill="1" applyBorder="1" applyAlignment="1">
      <alignment horizontal="center" vertical="center" wrapText="1"/>
    </xf>
    <xf numFmtId="4" fontId="5" fillId="5" borderId="1" xfId="0" applyNumberFormat="1" applyFont="1" applyFill="1" applyBorder="1" applyAlignment="1">
      <alignment horizontal="center" vertical="center" wrapText="1"/>
    </xf>
    <xf numFmtId="0" fontId="7" fillId="14" borderId="1" xfId="0" applyFont="1" applyFill="1" applyBorder="1" applyAlignment="1">
      <alignment horizontal="center" vertical="center" wrapText="1"/>
    </xf>
    <xf numFmtId="2" fontId="7" fillId="14" borderId="1" xfId="0" applyNumberFormat="1" applyFont="1" applyFill="1" applyBorder="1" applyAlignment="1">
      <alignment horizontal="center" vertical="center" wrapText="1"/>
    </xf>
    <xf numFmtId="4" fontId="7" fillId="14" borderId="1" xfId="0" applyNumberFormat="1" applyFont="1" applyFill="1" applyBorder="1" applyAlignment="1">
      <alignment horizontal="center" vertical="center" wrapText="1"/>
    </xf>
    <xf numFmtId="3" fontId="7" fillId="14" borderId="1" xfId="0" applyNumberFormat="1" applyFont="1" applyFill="1" applyBorder="1" applyAlignment="1">
      <alignment horizontal="center" vertical="center" wrapText="1"/>
    </xf>
    <xf numFmtId="0" fontId="0" fillId="2" borderId="0" xfId="0" applyFill="1" applyAlignment="1">
      <alignment horizontal="center"/>
    </xf>
    <xf numFmtId="0" fontId="9" fillId="2" borderId="0" xfId="0" applyFont="1" applyFill="1"/>
    <xf numFmtId="0" fontId="14" fillId="2" borderId="0" xfId="0" applyFont="1" applyFill="1"/>
    <xf numFmtId="0" fontId="16" fillId="2" borderId="0" xfId="0" applyFont="1" applyFill="1"/>
    <xf numFmtId="0" fontId="0" fillId="20" borderId="0" xfId="0" applyFill="1"/>
    <xf numFmtId="0" fontId="0" fillId="20" borderId="0" xfId="0" applyFill="1" applyAlignment="1">
      <alignment horizontal="center"/>
    </xf>
    <xf numFmtId="0" fontId="0" fillId="2" borderId="0" xfId="0" applyFill="1" applyBorder="1"/>
    <xf numFmtId="0" fontId="0" fillId="20" borderId="5" xfId="0" applyFill="1" applyBorder="1"/>
    <xf numFmtId="0" fontId="0" fillId="20" borderId="5" xfId="0" applyFill="1" applyBorder="1" applyAlignment="1">
      <alignment horizontal="center"/>
    </xf>
    <xf numFmtId="0" fontId="0" fillId="20" borderId="6" xfId="0" applyFill="1" applyBorder="1"/>
    <xf numFmtId="0" fontId="0" fillId="20" borderId="0" xfId="0" applyFill="1" applyBorder="1"/>
    <xf numFmtId="0" fontId="9" fillId="2" borderId="0" xfId="0" applyFont="1" applyFill="1" applyBorder="1" applyAlignment="1"/>
    <xf numFmtId="0" fontId="9" fillId="2" borderId="5" xfId="0" applyFont="1" applyFill="1" applyBorder="1" applyAlignment="1"/>
    <xf numFmtId="0" fontId="0" fillId="0" borderId="0" xfId="0" applyAlignment="1">
      <alignment wrapText="1"/>
    </xf>
    <xf numFmtId="0" fontId="1" fillId="13" borderId="0" xfId="0" applyFont="1" applyFill="1" applyAlignment="1">
      <alignment horizontal="center" vertical="center" wrapText="1"/>
    </xf>
    <xf numFmtId="0" fontId="1" fillId="3" borderId="0" xfId="0" applyFont="1" applyFill="1" applyAlignment="1">
      <alignment horizontal="center" vertical="center" wrapText="1"/>
    </xf>
    <xf numFmtId="0" fontId="2" fillId="0" borderId="0" xfId="0" applyFont="1" applyAlignment="1">
      <alignment horizontal="center" vertical="center" wrapText="1"/>
    </xf>
    <xf numFmtId="0" fontId="21" fillId="19" borderId="0" xfId="0" applyFont="1" applyFill="1" applyBorder="1" applyAlignment="1">
      <alignment horizontal="center" vertical="center" wrapText="1"/>
    </xf>
    <xf numFmtId="0" fontId="21" fillId="19" borderId="5" xfId="0" applyFont="1" applyFill="1" applyBorder="1" applyAlignment="1">
      <alignment horizontal="center" vertical="center" wrapText="1"/>
    </xf>
    <xf numFmtId="0" fontId="20" fillId="20" borderId="0" xfId="0" applyFont="1" applyFill="1" applyBorder="1" applyAlignment="1">
      <alignment horizontal="center" vertical="center" wrapText="1"/>
    </xf>
    <xf numFmtId="0" fontId="15" fillId="16" borderId="0" xfId="0" applyFont="1" applyFill="1" applyBorder="1" applyAlignment="1">
      <alignment horizontal="center" vertical="center" wrapText="1"/>
    </xf>
    <xf numFmtId="0" fontId="15" fillId="17" borderId="0" xfId="0" applyFont="1" applyFill="1" applyBorder="1" applyAlignment="1">
      <alignment horizontal="center" vertical="center" wrapText="1"/>
    </xf>
    <xf numFmtId="0" fontId="15" fillId="18" borderId="0" xfId="0" applyFont="1" applyFill="1" applyBorder="1" applyAlignment="1">
      <alignment horizontal="center" vertical="center" wrapText="1"/>
    </xf>
    <xf numFmtId="0" fontId="15" fillId="18" borderId="5" xfId="0" applyFont="1" applyFill="1" applyBorder="1" applyAlignment="1">
      <alignment horizontal="center" vertical="center" wrapText="1"/>
    </xf>
    <xf numFmtId="0" fontId="10" fillId="19" borderId="0" xfId="0" applyFont="1" applyFill="1" applyBorder="1" applyAlignment="1">
      <alignment horizontal="center" vertical="center" wrapText="1"/>
    </xf>
    <xf numFmtId="0" fontId="11" fillId="19" borderId="0" xfId="0" applyFont="1" applyFill="1" applyBorder="1" applyAlignment="1">
      <alignment horizontal="center" vertical="center" wrapText="1"/>
    </xf>
    <xf numFmtId="0" fontId="12" fillId="19" borderId="0" xfId="0" applyFont="1" applyFill="1" applyBorder="1" applyAlignment="1">
      <alignment horizontal="center" vertical="center" wrapText="1"/>
    </xf>
    <xf numFmtId="0" fontId="13" fillId="19" borderId="0" xfId="0" applyFont="1" applyFill="1" applyBorder="1" applyAlignment="1">
      <alignment horizontal="center" vertical="center" wrapText="1"/>
    </xf>
    <xf numFmtId="0" fontId="13" fillId="19" borderId="5" xfId="0" applyFont="1" applyFill="1" applyBorder="1" applyAlignment="1">
      <alignment horizontal="center" vertical="center" wrapText="1"/>
    </xf>
    <xf numFmtId="0" fontId="0" fillId="2" borderId="0" xfId="0" applyFill="1" applyBorder="1" applyAlignment="1">
      <alignment horizontal="center"/>
    </xf>
    <xf numFmtId="0" fontId="18" fillId="20" borderId="2" xfId="0" applyFont="1" applyFill="1" applyBorder="1" applyAlignment="1">
      <alignment horizontal="center" vertical="center"/>
    </xf>
    <xf numFmtId="0" fontId="19" fillId="20" borderId="3" xfId="0" applyFont="1" applyFill="1" applyBorder="1" applyAlignment="1">
      <alignment horizontal="center" vertical="center"/>
    </xf>
    <xf numFmtId="0" fontId="19" fillId="20" borderId="4" xfId="0" applyFont="1" applyFill="1" applyBorder="1" applyAlignment="1">
      <alignment horizontal="center" vertical="center"/>
    </xf>
    <xf numFmtId="0" fontId="0" fillId="20" borderId="0" xfId="0" applyFill="1" applyAlignment="1">
      <alignment horizontal="center"/>
    </xf>
    <xf numFmtId="0" fontId="0" fillId="20" borderId="5" xfId="0" applyFill="1" applyBorder="1" applyAlignment="1">
      <alignment horizontal="center"/>
    </xf>
    <xf numFmtId="0" fontId="0" fillId="20" borderId="0" xfId="0" applyFill="1" applyBorder="1" applyAlignment="1">
      <alignment horizontal="center"/>
    </xf>
    <xf numFmtId="0" fontId="20" fillId="20" borderId="0" xfId="0" applyFont="1" applyFill="1" applyAlignment="1">
      <alignment horizontal="center" vertical="center" wrapText="1"/>
    </xf>
    <xf numFmtId="0" fontId="20" fillId="20" borderId="5" xfId="0" applyFont="1" applyFill="1" applyBorder="1" applyAlignment="1">
      <alignment horizontal="center" vertical="center" wrapText="1"/>
    </xf>
    <xf numFmtId="0" fontId="0" fillId="3" borderId="0" xfId="0" applyFill="1" applyBorder="1"/>
    <xf numFmtId="0" fontId="0" fillId="16" borderId="0" xfId="0" applyFill="1" applyBorder="1"/>
    <xf numFmtId="0" fontId="0" fillId="17" borderId="0" xfId="0" applyFill="1" applyBorder="1"/>
    <xf numFmtId="0" fontId="0" fillId="18" borderId="0" xfId="0" applyFill="1" applyBorder="1"/>
    <xf numFmtId="0" fontId="0" fillId="18" borderId="5" xfId="0" applyFill="1" applyBorder="1"/>
    <xf numFmtId="0" fontId="8" fillId="3" borderId="8" xfId="0" applyFont="1" applyFill="1" applyBorder="1" applyAlignment="1">
      <alignment horizontal="center" vertical="center" wrapText="1"/>
    </xf>
    <xf numFmtId="0" fontId="8" fillId="3" borderId="7" xfId="0" applyFont="1" applyFill="1" applyBorder="1" applyAlignment="1">
      <alignment horizontal="center" vertical="center" wrapText="1"/>
    </xf>
    <xf numFmtId="0" fontId="8" fillId="3" borderId="9" xfId="0" applyFont="1" applyFill="1" applyBorder="1" applyAlignment="1">
      <alignment horizontal="center" vertical="center" wrapText="1"/>
    </xf>
    <xf numFmtId="0" fontId="17" fillId="15" borderId="0" xfId="0" applyFont="1" applyFill="1" applyBorder="1" applyAlignment="1">
      <alignment horizontal="center" vertical="center" wrapText="1"/>
    </xf>
    <xf numFmtId="0" fontId="17" fillId="15" borderId="5" xfId="0" applyFont="1" applyFill="1" applyBorder="1" applyAlignment="1">
      <alignment horizontal="center" vertical="center" wrapText="1"/>
    </xf>
    <xf numFmtId="0" fontId="15" fillId="3" borderId="0" xfId="0" applyFont="1" applyFill="1" applyBorder="1" applyAlignment="1">
      <alignment horizontal="center" vertical="center" wrapText="1"/>
    </xf>
  </cellXfs>
  <cellStyles count="1">
    <cellStyle name="Normal" xfId="0" builtinId="0"/>
  </cellStyles>
  <dxfs count="2">
    <dxf>
      <numFmt numFmtId="0" formatCode="General"/>
    </dxf>
    <dxf>
      <font>
        <b/>
        <i val="0"/>
        <strike val="0"/>
        <condense val="0"/>
        <extend val="0"/>
        <outline val="0"/>
        <shadow val="0"/>
        <u val="none"/>
        <vertAlign val="baseline"/>
        <sz val="14"/>
        <color auto="1"/>
        <name val="Calibri"/>
        <family val="2"/>
        <scheme val="minor"/>
      </font>
      <fill>
        <patternFill patternType="solid">
          <fgColor indexed="64"/>
          <bgColor theme="0" tint="-0.499984740745262"/>
        </patternFill>
      </fill>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[FinalDashboard.xlsx]1ST!PivotTable11</c:name>
    <c:fmtId val="3"/>
  </c:pivotSource>
  <c:chart>
    <c:title>
      <c:tx>
        <c:rich>
          <a:bodyPr/>
          <a:lstStyle/>
          <a:p>
            <a:r>
              <a:rPr lang="en-US" sz="1100" b="1" dirty="0">
                <a:solidFill>
                  <a:srgbClr val="1E5631"/>
                </a:solidFill>
              </a:rPr>
              <a:t>Total CO₂ Emissions (Mt) — Pakistan</a:t>
            </a:r>
          </a:p>
        </c:rich>
      </c:tx>
      <c:overlay val="0"/>
    </c:title>
    <c:autoTitleDeleted val="0"/>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ln w="28575" cap="rnd">
            <a:solidFill>
              <a:srgbClr val="27AE60"/>
            </a:solidFill>
            <a:round/>
          </a:ln>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'1ST'!$B$3</c:f>
              <c:strCache>
                <c:ptCount val="1"/>
                <c:pt idx="0">
                  <c:v>Total</c:v>
                </c:pt>
              </c:strCache>
            </c:strRef>
          </c:tx>
          <c:spPr>
            <a:ln w="28575" cap="rnd">
              <a:solidFill>
                <a:srgbClr val="27AE60"/>
              </a:solidFill>
              <a:round/>
            </a:ln>
          </c:spPr>
          <c:marker>
            <c:symbol val="none"/>
          </c:marker>
          <c:cat>
            <c:strRef>
              <c:f>'1ST'!$A$4:$A$25</c:f>
              <c:strCache>
                <c:ptCount val="2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strCache>
            </c:strRef>
          </c:cat>
          <c:val>
            <c:numRef>
              <c:f>'1ST'!$B$4:$B$25</c:f>
              <c:numCache>
                <c:formatCode>General</c:formatCode>
                <c:ptCount val="21"/>
                <c:pt idx="0">
                  <c:v>103.94</c:v>
                </c:pt>
                <c:pt idx="1">
                  <c:v>105.4</c:v>
                </c:pt>
                <c:pt idx="2">
                  <c:v>110.57</c:v>
                </c:pt>
                <c:pt idx="3">
                  <c:v>113.14</c:v>
                </c:pt>
                <c:pt idx="4">
                  <c:v>124.64</c:v>
                </c:pt>
                <c:pt idx="5">
                  <c:v>129.94999999999999</c:v>
                </c:pt>
                <c:pt idx="6">
                  <c:v>137.91</c:v>
                </c:pt>
                <c:pt idx="7">
                  <c:v>148.35</c:v>
                </c:pt>
                <c:pt idx="8">
                  <c:v>147.9</c:v>
                </c:pt>
                <c:pt idx="9">
                  <c:v>148.35</c:v>
                </c:pt>
                <c:pt idx="10">
                  <c:v>147.5</c:v>
                </c:pt>
                <c:pt idx="11">
                  <c:v>149.49</c:v>
                </c:pt>
                <c:pt idx="12">
                  <c:v>150.56</c:v>
                </c:pt>
                <c:pt idx="13">
                  <c:v>148.18</c:v>
                </c:pt>
                <c:pt idx="14">
                  <c:v>150.81</c:v>
                </c:pt>
                <c:pt idx="15">
                  <c:v>144.9</c:v>
                </c:pt>
                <c:pt idx="16">
                  <c:v>176.74</c:v>
                </c:pt>
                <c:pt idx="17">
                  <c:v>211.98</c:v>
                </c:pt>
                <c:pt idx="18">
                  <c:v>203.5</c:v>
                </c:pt>
                <c:pt idx="19">
                  <c:v>190.83</c:v>
                </c:pt>
                <c:pt idx="20">
                  <c:v>215.51</c:v>
                </c:pt>
              </c:numCache>
            </c:numRef>
          </c:val>
          <c:smooth val="0"/>
          <c:extLst>
            <c:ext xmlns:c16="http://schemas.microsoft.com/office/drawing/2014/chart" uri="{C3380CC4-5D6E-409C-BE32-E72D297353CC}">
              <c16:uniqueId val="{00000000-1CBB-47A3-B031-895EAF76B311}"/>
            </c:ext>
          </c:extLst>
        </c:ser>
        <c:dLbls>
          <c:showLegendKey val="0"/>
          <c:showVal val="0"/>
          <c:showCatName val="0"/>
          <c:showSerName val="0"/>
          <c:showPercent val="0"/>
          <c:showBubbleSize val="0"/>
        </c:dLbls>
        <c:smooth val="0"/>
        <c:axId val="1893361023"/>
        <c:axId val="1893358527"/>
      </c:lineChart>
      <c:catAx>
        <c:axId val="1893361023"/>
        <c:scaling>
          <c:orientation val="minMax"/>
        </c:scaling>
        <c:delete val="0"/>
        <c:axPos val="b"/>
        <c:title>
          <c:tx>
            <c:rich>
              <a:bodyPr/>
              <a:lstStyle/>
              <a:p>
                <a:r>
                  <a:rPr lang="en-US" sz="900" b="1" dirty="0">
                    <a:solidFill>
                      <a:srgbClr val="163828"/>
                    </a:solidFill>
                  </a:rPr>
                  <a:t>Year</a:t>
                </a:r>
              </a:p>
            </c:rich>
          </c:tx>
          <c:overlay val="0"/>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3358527"/>
        <c:crosses val="autoZero"/>
        <c:auto val="1"/>
        <c:lblAlgn val="ctr"/>
        <c:lblOffset val="100"/>
        <c:noMultiLvlLbl val="0"/>
      </c:catAx>
      <c:valAx>
        <c:axId val="1893358527"/>
        <c:scaling>
          <c:orientation val="minMax"/>
        </c:scaling>
        <c:delete val="0"/>
        <c:axPos val="l"/>
        <c:majorGridlines>
          <c:spPr>
            <a:ln w="9525" cap="flat" cmpd="sng" algn="ctr">
              <a:solidFill>
                <a:schemeClr val="tx1">
                  <a:lumMod val="15000"/>
                  <a:lumOff val="85000"/>
                </a:schemeClr>
              </a:solidFill>
              <a:round/>
            </a:ln>
            <a:effectLst/>
          </c:spPr>
        </c:majorGridlines>
        <c:title>
          <c:tx>
            <c:rich>
              <a:bodyPr/>
              <a:lstStyle/>
              <a:p>
                <a:r>
                  <a:rPr lang="en-US" sz="900" b="1" dirty="0">
                    <a:solidFill>
                      <a:srgbClr val="163828"/>
                    </a:solidFill>
                  </a:rPr>
                  <a:t>CO₂ Emissions (Million Tonnes)</a:t>
                </a:r>
              </a:p>
            </c:rich>
          </c:tx>
          <c:overlay val="0"/>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3361023"/>
        <c:crosses val="autoZero"/>
        <c:crossBetween val="between"/>
      </c:valAx>
      <c:spPr>
        <a:solidFill>
          <a:srgbClr val="F1FBF4"/>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[FinalDashboard.xlsx]2ND!PivotTable12</c:name>
    <c:fmtId val="3"/>
  </c:pivotSource>
  <c:chart>
    <c:title>
      <c:tx>
        <c:rich>
          <a:bodyPr/>
          <a:lstStyle/>
          <a:p>
            <a:r>
              <a:rPr lang="en-US" sz="1100" b="1" dirty="0">
                <a:solidFill>
                  <a:srgbClr val="1E5631"/>
                </a:solidFill>
              </a:rPr>
              <a:t>Per Capita CO₂ Emissions (t/person) — Pakistan</a:t>
            </a:r>
          </a:p>
        </c:rich>
      </c:tx>
      <c:overlay val="0"/>
    </c:title>
    <c:autoTitleDeleted val="0"/>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ln w="28575" cap="rnd">
            <a:solidFill>
              <a:srgbClr val="1E8449"/>
            </a:solidFill>
            <a:round/>
          </a:ln>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'2ND'!$B$3</c:f>
              <c:strCache>
                <c:ptCount val="1"/>
                <c:pt idx="0">
                  <c:v>Total</c:v>
                </c:pt>
              </c:strCache>
            </c:strRef>
          </c:tx>
          <c:spPr>
            <a:ln w="28575" cap="rnd">
              <a:solidFill>
                <a:srgbClr val="1E8449"/>
              </a:solidFill>
              <a:round/>
            </a:ln>
          </c:spPr>
          <c:marker>
            <c:symbol val="none"/>
          </c:marker>
          <c:cat>
            <c:strRef>
              <c:f>'2ND'!$A$4:$A$25</c:f>
              <c:strCache>
                <c:ptCount val="2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strCache>
            </c:strRef>
          </c:cat>
          <c:val>
            <c:numRef>
              <c:f>'2ND'!$B$4:$B$25</c:f>
              <c:numCache>
                <c:formatCode>General</c:formatCode>
                <c:ptCount val="21"/>
                <c:pt idx="0">
                  <c:v>0.67100000000000004</c:v>
                </c:pt>
                <c:pt idx="1">
                  <c:v>0.66200000000000003</c:v>
                </c:pt>
                <c:pt idx="2">
                  <c:v>0.67700000000000005</c:v>
                </c:pt>
                <c:pt idx="3">
                  <c:v>0.67700000000000005</c:v>
                </c:pt>
                <c:pt idx="4">
                  <c:v>0.72799999999999998</c:v>
                </c:pt>
                <c:pt idx="5">
                  <c:v>0.74099999999999999</c:v>
                </c:pt>
                <c:pt idx="6">
                  <c:v>0.76800000000000002</c:v>
                </c:pt>
                <c:pt idx="7">
                  <c:v>0.80400000000000005</c:v>
                </c:pt>
                <c:pt idx="8">
                  <c:v>0.78</c:v>
                </c:pt>
                <c:pt idx="9">
                  <c:v>0.76300000000000001</c:v>
                </c:pt>
                <c:pt idx="10">
                  <c:v>0.74</c:v>
                </c:pt>
                <c:pt idx="11">
                  <c:v>0.73399999999999999</c:v>
                </c:pt>
                <c:pt idx="12">
                  <c:v>0.72499999999999998</c:v>
                </c:pt>
                <c:pt idx="13">
                  <c:v>0.70199999999999996</c:v>
                </c:pt>
                <c:pt idx="14">
                  <c:v>0.70399999999999996</c:v>
                </c:pt>
                <c:pt idx="15">
                  <c:v>0.66700000000000004</c:v>
                </c:pt>
                <c:pt idx="16">
                  <c:v>0.80300000000000005</c:v>
                </c:pt>
                <c:pt idx="17">
                  <c:v>0.94899999999999995</c:v>
                </c:pt>
                <c:pt idx="18">
                  <c:v>0.89700000000000002</c:v>
                </c:pt>
                <c:pt idx="19">
                  <c:v>0.82699999999999996</c:v>
                </c:pt>
                <c:pt idx="20">
                  <c:v>0.91700000000000004</c:v>
                </c:pt>
              </c:numCache>
            </c:numRef>
          </c:val>
          <c:smooth val="0"/>
          <c:extLst>
            <c:ext xmlns:c16="http://schemas.microsoft.com/office/drawing/2014/chart" uri="{C3380CC4-5D6E-409C-BE32-E72D297353CC}">
              <c16:uniqueId val="{00000000-B5FF-4B94-93A6-4BA1D5A68523}"/>
            </c:ext>
          </c:extLst>
        </c:ser>
        <c:dLbls>
          <c:showLegendKey val="0"/>
          <c:showVal val="0"/>
          <c:showCatName val="0"/>
          <c:showSerName val="0"/>
          <c:showPercent val="0"/>
          <c:showBubbleSize val="0"/>
        </c:dLbls>
        <c:smooth val="0"/>
        <c:axId val="2015858015"/>
        <c:axId val="2015855519"/>
      </c:lineChart>
      <c:catAx>
        <c:axId val="2015858015"/>
        <c:scaling>
          <c:orientation val="minMax"/>
        </c:scaling>
        <c:delete val="0"/>
        <c:axPos val="b"/>
        <c:title>
          <c:tx>
            <c:rich>
              <a:bodyPr/>
              <a:lstStyle/>
              <a:p>
                <a:r>
                  <a:rPr lang="en-US" sz="900" b="1" dirty="0">
                    <a:solidFill>
                      <a:srgbClr val="163828"/>
                    </a:solidFill>
                  </a:rPr>
                  <a:t>Year</a:t>
                </a:r>
              </a:p>
            </c:rich>
          </c:tx>
          <c:overlay val="0"/>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5855519"/>
        <c:crosses val="autoZero"/>
        <c:auto val="1"/>
        <c:lblAlgn val="ctr"/>
        <c:lblOffset val="100"/>
        <c:noMultiLvlLbl val="0"/>
      </c:catAx>
      <c:valAx>
        <c:axId val="2015855519"/>
        <c:scaling>
          <c:orientation val="minMax"/>
        </c:scaling>
        <c:delete val="0"/>
        <c:axPos val="l"/>
        <c:majorGridlines>
          <c:spPr>
            <a:ln w="9525" cap="flat" cmpd="sng" algn="ctr">
              <a:solidFill>
                <a:schemeClr val="tx1">
                  <a:lumMod val="15000"/>
                  <a:lumOff val="85000"/>
                </a:schemeClr>
              </a:solidFill>
              <a:round/>
            </a:ln>
            <a:effectLst/>
          </c:spPr>
        </c:majorGridlines>
        <c:title>
          <c:tx>
            <c:rich>
              <a:bodyPr/>
              <a:lstStyle/>
              <a:p>
                <a:r>
                  <a:rPr lang="en-US" sz="900" b="1" dirty="0">
                    <a:solidFill>
                      <a:srgbClr val="163828"/>
                    </a:solidFill>
                  </a:rPr>
                  <a:t>Per Capita CO₂ (t/person)</a:t>
                </a:r>
              </a:p>
            </c:rich>
          </c:tx>
          <c:overlay val="0"/>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5858015"/>
        <c:crosses val="autoZero"/>
        <c:crossBetween val="between"/>
      </c:valAx>
      <c:spPr>
        <a:solidFill>
          <a:srgbClr val="F1FBF4"/>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[FinalDashboard.xlsx]3RD!PivotTable13</c:name>
    <c:fmtId val="3"/>
  </c:pivotSource>
  <c:chart>
    <c:title>
      <c:tx>
        <c:rich>
          <a:bodyPr/>
          <a:lstStyle/>
          <a:p>
            <a:r>
              <a:rPr lang="en-US" sz="1050" b="1" dirty="0">
                <a:solidFill>
                  <a:srgbClr val="1E5631"/>
                </a:solidFill>
              </a:rPr>
              <a:t>Avg. Per Capita CO₂ (t/person): Country Comparison</a:t>
            </a:r>
          </a:p>
        </c:rich>
      </c:tx>
      <c:overlay val="0"/>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rgbClr val="27AE60"/>
          </a:solidFill>
          <a:ln>
            <a:noFill/>
          </a:ln>
        </c:spPr>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'3RD'!$B$3</c:f>
              <c:strCache>
                <c:ptCount val="1"/>
                <c:pt idx="0">
                  <c:v>Total</c:v>
                </c:pt>
              </c:strCache>
            </c:strRef>
          </c:tx>
          <c:spPr>
            <a:solidFill>
              <a:srgbClr val="27AE60"/>
            </a:solidFill>
            <a:ln>
              <a:noFill/>
            </a:ln>
          </c:spPr>
          <c:invertIfNegative val="0"/>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'3RD'!$A$4:$A$10</c:f>
              <c:strCache>
                <c:ptCount val="6"/>
                <c:pt idx="0">
                  <c:v>Bangladesh</c:v>
                </c:pt>
                <c:pt idx="1">
                  <c:v>China</c:v>
                </c:pt>
                <c:pt idx="2">
                  <c:v>India</c:v>
                </c:pt>
                <c:pt idx="3">
                  <c:v>Pakistan</c:v>
                </c:pt>
                <c:pt idx="4">
                  <c:v>United States</c:v>
                </c:pt>
                <c:pt idx="5">
                  <c:v>World</c:v>
                </c:pt>
              </c:strCache>
            </c:strRef>
          </c:cat>
          <c:val>
            <c:numRef>
              <c:f>'3RD'!$B$4:$B$10</c:f>
              <c:numCache>
                <c:formatCode>General</c:formatCode>
                <c:ptCount val="6"/>
                <c:pt idx="0">
                  <c:v>7.7557030094494408</c:v>
                </c:pt>
                <c:pt idx="1">
                  <c:v>122.44735739518704</c:v>
                </c:pt>
                <c:pt idx="2">
                  <c:v>28.760482935629884</c:v>
                </c:pt>
                <c:pt idx="3">
                  <c:v>15.935573525247683</c:v>
                </c:pt>
                <c:pt idx="4">
                  <c:v>385.71656696641645</c:v>
                </c:pt>
                <c:pt idx="5">
                  <c:v>96.510805477056181</c:v>
                </c:pt>
              </c:numCache>
            </c:numRef>
          </c:val>
          <c:extLst>
            <c:ext xmlns:c16="http://schemas.microsoft.com/office/drawing/2014/chart" uri="{C3380CC4-5D6E-409C-BE32-E72D297353CC}">
              <c16:uniqueId val="{00000000-5B5E-4E88-B719-D70F5A1AD596}"/>
            </c:ext>
          </c:extLst>
        </c:ser>
        <c:dLbls>
          <c:showLegendKey val="0"/>
          <c:showVal val="1"/>
          <c:showCatName val="0"/>
          <c:showSerName val="0"/>
          <c:showPercent val="0"/>
          <c:showBubbleSize val="0"/>
        </c:dLbls>
        <c:gapWidth val="182"/>
        <c:axId val="2015859679"/>
        <c:axId val="2015852191"/>
      </c:barChart>
      <c:catAx>
        <c:axId val="2015859679"/>
        <c:scaling>
          <c:orientation val="minMax"/>
        </c:scaling>
        <c:delete val="0"/>
        <c:axPos val="l"/>
        <c:title>
          <c:tx>
            <c:rich>
              <a:bodyPr/>
              <a:lstStyle/>
              <a:p>
                <a:r>
                  <a:rPr lang="en-US" sz="900" b="1" dirty="0">
                    <a:solidFill>
                      <a:srgbClr val="163828"/>
                    </a:solidFill>
                  </a:rPr>
                  <a:t>Country</a:t>
                </a:r>
              </a:p>
            </c:rich>
          </c:tx>
          <c:overlay val="0"/>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5852191"/>
        <c:crosses val="autoZero"/>
        <c:auto val="1"/>
        <c:lblAlgn val="ctr"/>
        <c:lblOffset val="100"/>
        <c:noMultiLvlLbl val="0"/>
      </c:catAx>
      <c:valAx>
        <c:axId val="2015852191"/>
        <c:scaling>
          <c:orientation val="minMax"/>
        </c:scaling>
        <c:delete val="0"/>
        <c:axPos val="b"/>
        <c:majorGridlines>
          <c:spPr>
            <a:ln w="9525" cap="flat" cmpd="sng" algn="ctr">
              <a:solidFill>
                <a:schemeClr val="tx1">
                  <a:lumMod val="15000"/>
                  <a:lumOff val="85000"/>
                </a:schemeClr>
              </a:solidFill>
              <a:round/>
            </a:ln>
            <a:effectLst/>
          </c:spPr>
        </c:majorGridlines>
        <c:title>
          <c:tx>
            <c:rich>
              <a:bodyPr/>
              <a:lstStyle/>
              <a:p>
                <a:r>
                  <a:rPr lang="en-US" sz="900" b="1" dirty="0">
                    <a:solidFill>
                      <a:srgbClr val="163828"/>
                    </a:solidFill>
                  </a:rPr>
                  <a:t>Per Capita CO₂ (t/person)</a:t>
                </a:r>
              </a:p>
            </c:rich>
          </c:tx>
          <c:overlay val="0"/>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5859679"/>
        <c:crosses val="autoZero"/>
        <c:crossBetween val="between"/>
      </c:valAx>
      <c:spPr>
        <a:solidFill>
          <a:srgbClr val="F1FBF4"/>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[FinalDashboard.xlsx]4TH!PivotTable15</c:name>
    <c:fmtId val="3"/>
  </c:pivotSource>
  <c:chart>
    <c:title>
      <c:tx>
        <c:rich>
          <a:bodyPr/>
          <a:lstStyle/>
          <a:p>
            <a:r>
              <a:rPr lang="en-US" sz="1000" b="1" dirty="0">
                <a:solidFill>
                  <a:srgbClr val="1E5631"/>
                </a:solidFill>
              </a:rPr>
              <a:t>Share of Global CO₂ Emissions (%) — Pakistan vs India</a:t>
            </a:r>
          </a:p>
        </c:rich>
      </c:tx>
      <c:overlay val="0"/>
    </c:title>
    <c:autoTitleDeleted val="0"/>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
        <c:spPr>
          <a:ln w="25400" cap="rnd">
            <a:solidFill>
              <a:srgbClr val="27AE60"/>
            </a:solidFill>
            <a:round/>
          </a:ln>
        </c:spPr>
        <c:marker>
          <c:symbol val="none"/>
        </c:marker>
        <c:dLbl>
          <c:idx val="0"/>
          <c:delete val="1"/>
          <c:extLst>
            <c:ext xmlns:c15="http://schemas.microsoft.com/office/drawing/2012/chart" uri="{CE6537A1-D6FC-4f65-9D91-7224C49458BB}"/>
          </c:extLst>
        </c:dLbl>
      </c:pivotFmt>
      <c:pivotFmt>
        <c:idx val="5"/>
        <c:spPr>
          <a:ln w="25400" cap="rnd">
            <a:solidFill>
              <a:srgbClr val="1E5631"/>
            </a:solidFill>
            <a:round/>
          </a:ln>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'4TH'!$B$3</c:f>
              <c:strCache>
                <c:ptCount val="1"/>
                <c:pt idx="0">
                  <c:v>Sum of Share (%)
India</c:v>
                </c:pt>
              </c:strCache>
            </c:strRef>
          </c:tx>
          <c:spPr>
            <a:ln w="25400" cap="rnd">
              <a:solidFill>
                <a:srgbClr val="27AE60"/>
              </a:solidFill>
              <a:round/>
            </a:ln>
          </c:spPr>
          <c:marker>
            <c:symbol val="none"/>
          </c:marker>
          <c:cat>
            <c:strRef>
              <c:f>'4TH'!$A$4:$A$25</c:f>
              <c:strCache>
                <c:ptCount val="2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strCache>
            </c:strRef>
          </c:cat>
          <c:val>
            <c:numRef>
              <c:f>'4TH'!$B$4:$B$25</c:f>
              <c:numCache>
                <c:formatCode>General</c:formatCode>
                <c:ptCount val="21"/>
                <c:pt idx="0">
                  <c:v>3.867</c:v>
                </c:pt>
                <c:pt idx="1">
                  <c:v>3.8919999999999999</c:v>
                </c:pt>
                <c:pt idx="2">
                  <c:v>3.9279999999999999</c:v>
                </c:pt>
                <c:pt idx="3">
                  <c:v>3.859</c:v>
                </c:pt>
                <c:pt idx="4">
                  <c:v>3.96</c:v>
                </c:pt>
                <c:pt idx="5">
                  <c:v>4.0339999999999998</c:v>
                </c:pt>
                <c:pt idx="6">
                  <c:v>4.22</c:v>
                </c:pt>
                <c:pt idx="7">
                  <c:v>4.4160000000000004</c:v>
                </c:pt>
                <c:pt idx="8">
                  <c:v>4.6440000000000001</c:v>
                </c:pt>
                <c:pt idx="9">
                  <c:v>5.1109999999999998</c:v>
                </c:pt>
                <c:pt idx="10">
                  <c:v>5.0289999999999999</c:v>
                </c:pt>
                <c:pt idx="11">
                  <c:v>5.1139999999999999</c:v>
                </c:pt>
                <c:pt idx="12">
                  <c:v>5.5019999999999998</c:v>
                </c:pt>
                <c:pt idx="13">
                  <c:v>5.6520000000000001</c:v>
                </c:pt>
                <c:pt idx="14">
                  <c:v>6.06</c:v>
                </c:pt>
                <c:pt idx="15">
                  <c:v>6.31</c:v>
                </c:pt>
                <c:pt idx="16">
                  <c:v>6.6479999999999997</c:v>
                </c:pt>
                <c:pt idx="17">
                  <c:v>6.742</c:v>
                </c:pt>
                <c:pt idx="18">
                  <c:v>7.06</c:v>
                </c:pt>
                <c:pt idx="19">
                  <c:v>7.0419999999999998</c:v>
                </c:pt>
                <c:pt idx="20">
                  <c:v>6.8940000000000001</c:v>
                </c:pt>
              </c:numCache>
            </c:numRef>
          </c:val>
          <c:smooth val="0"/>
          <c:extLst>
            <c:ext xmlns:c16="http://schemas.microsoft.com/office/drawing/2014/chart" uri="{C3380CC4-5D6E-409C-BE32-E72D297353CC}">
              <c16:uniqueId val="{00000000-2CFF-467C-8BE5-A56CCB3ADDDA}"/>
            </c:ext>
          </c:extLst>
        </c:ser>
        <c:ser>
          <c:idx val="1"/>
          <c:order val="1"/>
          <c:tx>
            <c:strRef>
              <c:f>'4TH'!$C$3</c:f>
              <c:strCache>
                <c:ptCount val="1"/>
                <c:pt idx="0">
                  <c:v>Sum of Global Share (%)
Pakistan</c:v>
                </c:pt>
              </c:strCache>
            </c:strRef>
          </c:tx>
          <c:spPr>
            <a:ln w="25400" cap="rnd">
              <a:solidFill>
                <a:srgbClr val="1E5631"/>
              </a:solidFill>
              <a:round/>
            </a:ln>
          </c:spPr>
          <c:marker>
            <c:symbol val="none"/>
          </c:marker>
          <c:cat>
            <c:strRef>
              <c:f>'4TH'!$A$4:$A$25</c:f>
              <c:strCache>
                <c:ptCount val="2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strCache>
            </c:strRef>
          </c:cat>
          <c:val>
            <c:numRef>
              <c:f>'4TH'!$C$4:$C$25</c:f>
              <c:numCache>
                <c:formatCode>General</c:formatCode>
                <c:ptCount val="21"/>
                <c:pt idx="0">
                  <c:v>0.40699999999999997</c:v>
                </c:pt>
                <c:pt idx="1">
                  <c:v>0.41</c:v>
                </c:pt>
                <c:pt idx="2">
                  <c:v>0.43</c:v>
                </c:pt>
                <c:pt idx="3">
                  <c:v>0.42499999999999999</c:v>
                </c:pt>
                <c:pt idx="4">
                  <c:v>0.45300000000000001</c:v>
                </c:pt>
                <c:pt idx="5">
                  <c:v>0.45100000000000001</c:v>
                </c:pt>
                <c:pt idx="6">
                  <c:v>0.47</c:v>
                </c:pt>
                <c:pt idx="7">
                  <c:v>0.5</c:v>
                </c:pt>
                <c:pt idx="8">
                  <c:v>0.48399999999999999</c:v>
                </c:pt>
                <c:pt idx="9">
                  <c:v>0.49299999999999999</c:v>
                </c:pt>
                <c:pt idx="10">
                  <c:v>0.46200000000000002</c:v>
                </c:pt>
                <c:pt idx="11">
                  <c:v>0.44900000000000001</c:v>
                </c:pt>
                <c:pt idx="12">
                  <c:v>0.442</c:v>
                </c:pt>
                <c:pt idx="13">
                  <c:v>0.43</c:v>
                </c:pt>
                <c:pt idx="14">
                  <c:v>0.442</c:v>
                </c:pt>
                <c:pt idx="15">
                  <c:v>0.42499999999999999</c:v>
                </c:pt>
                <c:pt idx="16">
                  <c:v>0.503</c:v>
                </c:pt>
                <c:pt idx="17">
                  <c:v>0.60699999999999998</c:v>
                </c:pt>
                <c:pt idx="18">
                  <c:v>0.57299999999999995</c:v>
                </c:pt>
                <c:pt idx="19">
                  <c:v>0.56000000000000005</c:v>
                </c:pt>
                <c:pt idx="20">
                  <c:v>0.65700000000000003</c:v>
                </c:pt>
              </c:numCache>
            </c:numRef>
          </c:val>
          <c:smooth val="0"/>
          <c:extLst>
            <c:ext xmlns:c16="http://schemas.microsoft.com/office/drawing/2014/chart" uri="{C3380CC4-5D6E-409C-BE32-E72D297353CC}">
              <c16:uniqueId val="{00000001-2CFF-467C-8BE5-A56CCB3ADDDA}"/>
            </c:ext>
          </c:extLst>
        </c:ser>
        <c:dLbls>
          <c:showLegendKey val="0"/>
          <c:showVal val="0"/>
          <c:showCatName val="0"/>
          <c:showSerName val="0"/>
          <c:showPercent val="0"/>
          <c:showBubbleSize val="0"/>
        </c:dLbls>
        <c:smooth val="0"/>
        <c:axId val="2034725503"/>
        <c:axId val="2034728415"/>
      </c:lineChart>
      <c:catAx>
        <c:axId val="2034725503"/>
        <c:scaling>
          <c:orientation val="minMax"/>
        </c:scaling>
        <c:delete val="0"/>
        <c:axPos val="b"/>
        <c:title>
          <c:tx>
            <c:rich>
              <a:bodyPr/>
              <a:lstStyle/>
              <a:p>
                <a:r>
                  <a:rPr lang="en-US" sz="900" b="1" dirty="0">
                    <a:solidFill>
                      <a:srgbClr val="163828"/>
                    </a:solidFill>
                  </a:rPr>
                  <a:t>Year</a:t>
                </a:r>
              </a:p>
            </c:rich>
          </c:tx>
          <c:overlay val="0"/>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728415"/>
        <c:crosses val="autoZero"/>
        <c:auto val="1"/>
        <c:lblAlgn val="ctr"/>
        <c:lblOffset val="100"/>
        <c:noMultiLvlLbl val="0"/>
      </c:catAx>
      <c:valAx>
        <c:axId val="2034728415"/>
        <c:scaling>
          <c:orientation val="minMax"/>
        </c:scaling>
        <c:delete val="0"/>
        <c:axPos val="l"/>
        <c:majorGridlines>
          <c:spPr>
            <a:ln w="9525" cap="flat" cmpd="sng" algn="ctr">
              <a:solidFill>
                <a:schemeClr val="tx1">
                  <a:lumMod val="15000"/>
                  <a:lumOff val="85000"/>
                </a:schemeClr>
              </a:solidFill>
              <a:round/>
            </a:ln>
            <a:effectLst/>
          </c:spPr>
        </c:majorGridlines>
        <c:title>
          <c:tx>
            <c:rich>
              <a:bodyPr/>
              <a:lstStyle/>
              <a:p>
                <a:r>
                  <a:rPr lang="en-US" sz="900" b="1" dirty="0">
                    <a:solidFill>
                      <a:srgbClr val="163828"/>
                    </a:solidFill>
                  </a:rPr>
                  <a:t>Global CO₂ Share (%)</a:t>
                </a:r>
              </a:p>
            </c:rich>
          </c:tx>
          <c:overlay val="0"/>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725503"/>
        <c:crosses val="autoZero"/>
        <c:crossBetween val="between"/>
      </c:valAx>
      <c:spPr>
        <a:solidFill>
          <a:srgbClr val="F1FBF4"/>
        </a:soli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lang="en-US" sz="1000" b="1" dirty="0">
                <a:solidFill>
                  <a:srgbClr val="1E5631"/>
                </a:solidFill>
              </a:rPr>
              <a:t>GDP per Capita (USD) vs Per Capita CO₂ (t/person)</a:t>
            </a:r>
          </a:p>
        </c:rich>
      </c:tx>
      <c:overlay val="0"/>
    </c:title>
    <c:autoTitleDeleted val="0"/>
    <c:plotArea>
      <c:layout/>
      <c:scatterChart>
        <c:scatterStyle val="lineMarker"/>
        <c:varyColors val="0"/>
        <c:ser>
          <c:idx val="0"/>
          <c:order val="0"/>
          <c:tx>
            <c:v>United States</c:v>
          </c:tx>
          <c:spPr>
            <a:ln w="47520">
              <a:noFill/>
            </a:ln>
          </c:spPr>
          <c:marker>
            <c:symbol val="circle"/>
            <c:size val="14"/>
            <c:spPr>
              <a:solidFill>
                <a:srgbClr val="375623"/>
              </a:solidFill>
              <a:ln>
                <a:solidFill>
                  <a:srgbClr val="375623"/>
                </a:solidFill>
              </a:ln>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howLeaderLines val="0"/>
            <c:extLst>
              <c:ext xmlns:c15="http://schemas.microsoft.com/office/drawing/2012/chart" uri="{CE6537A1-D6FC-4f65-9D91-7224C49458BB}">
                <c15:showLeaderLines val="1"/>
              </c:ext>
            </c:extLst>
          </c:dLbls>
          <c:xVal>
            <c:numRef>
              <c:f>'[1]Comparison Data'!$F$3</c:f>
              <c:numCache>
                <c:formatCode>General</c:formatCode>
                <c:ptCount val="1"/>
                <c:pt idx="0">
                  <c:v>63516</c:v>
                </c:pt>
              </c:numCache>
            </c:numRef>
          </c:xVal>
          <c:yVal>
            <c:numRef>
              <c:f>'[1]Comparison Data'!$G$3</c:f>
              <c:numCache>
                <c:formatCode>General</c:formatCode>
                <c:ptCount val="1"/>
                <c:pt idx="0">
                  <c:v>14.14</c:v>
                </c:pt>
              </c:numCache>
            </c:numRef>
          </c:yVal>
          <c:smooth val="1"/>
          <c:extLst>
            <c:ext xmlns:c16="http://schemas.microsoft.com/office/drawing/2014/chart" uri="{C3380CC4-5D6E-409C-BE32-E72D297353CC}">
              <c16:uniqueId val="{00000000-1358-44B0-AF33-40AEB4E66683}"/>
            </c:ext>
          </c:extLst>
        </c:ser>
        <c:ser>
          <c:idx val="1"/>
          <c:order val="1"/>
          <c:tx>
            <c:v>China</c:v>
          </c:tx>
          <c:spPr>
            <a:ln w="47520">
              <a:noFill/>
            </a:ln>
          </c:spPr>
          <c:marker>
            <c:symbol val="circle"/>
            <c:size val="14"/>
            <c:spPr>
              <a:solidFill>
                <a:srgbClr val="ED7D31"/>
              </a:solidFill>
              <a:ln>
                <a:solidFill>
                  <a:srgbClr val="ED7D31"/>
                </a:solidFill>
              </a:ln>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howLeaderLines val="0"/>
            <c:extLst>
              <c:ext xmlns:c15="http://schemas.microsoft.com/office/drawing/2012/chart" uri="{CE6537A1-D6FC-4f65-9D91-7224C49458BB}">
                <c15:showLeaderLines val="1"/>
              </c:ext>
            </c:extLst>
          </c:dLbls>
          <c:xVal>
            <c:numRef>
              <c:f>'[1]Comparison Data'!$F$4</c:f>
              <c:numCache>
                <c:formatCode>General</c:formatCode>
                <c:ptCount val="1"/>
                <c:pt idx="0">
                  <c:v>10627</c:v>
                </c:pt>
              </c:numCache>
            </c:numRef>
          </c:xVal>
          <c:yVal>
            <c:numRef>
              <c:f>'[1]Comparison Data'!$G$4</c:f>
              <c:numCache>
                <c:formatCode>General</c:formatCode>
                <c:ptCount val="1"/>
                <c:pt idx="0">
                  <c:v>7.72</c:v>
                </c:pt>
              </c:numCache>
            </c:numRef>
          </c:yVal>
          <c:smooth val="1"/>
          <c:extLst>
            <c:ext xmlns:c16="http://schemas.microsoft.com/office/drawing/2014/chart" uri="{C3380CC4-5D6E-409C-BE32-E72D297353CC}">
              <c16:uniqueId val="{00000001-1358-44B0-AF33-40AEB4E66683}"/>
            </c:ext>
          </c:extLst>
        </c:ser>
        <c:ser>
          <c:idx val="2"/>
          <c:order val="2"/>
          <c:tx>
            <c:v>World Average</c:v>
          </c:tx>
          <c:spPr>
            <a:ln w="47520">
              <a:noFill/>
            </a:ln>
          </c:spPr>
          <c:marker>
            <c:symbol val="circle"/>
            <c:size val="14"/>
            <c:spPr>
              <a:solidFill>
                <a:srgbClr val="888888"/>
              </a:solidFill>
              <a:ln>
                <a:solidFill>
                  <a:srgbClr val="888888"/>
                </a:solidFill>
              </a:ln>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howLeaderLines val="0"/>
            <c:extLst>
              <c:ext xmlns:c15="http://schemas.microsoft.com/office/drawing/2012/chart" uri="{CE6537A1-D6FC-4f65-9D91-7224C49458BB}">
                <c15:showLeaderLines val="1"/>
              </c:ext>
            </c:extLst>
          </c:dLbls>
          <c:xVal>
            <c:numRef>
              <c:f>'[1]Comparison Data'!$F$5</c:f>
              <c:numCache>
                <c:formatCode>General</c:formatCode>
                <c:ptCount val="1"/>
                <c:pt idx="0">
                  <c:v>10938</c:v>
                </c:pt>
              </c:numCache>
            </c:numRef>
          </c:xVal>
          <c:yVal>
            <c:numRef>
              <c:f>'[1]Comparison Data'!$G$5</c:f>
              <c:numCache>
                <c:formatCode>General</c:formatCode>
                <c:ptCount val="1"/>
                <c:pt idx="0">
                  <c:v>4.4800000000000004</c:v>
                </c:pt>
              </c:numCache>
            </c:numRef>
          </c:yVal>
          <c:smooth val="1"/>
          <c:extLst>
            <c:ext xmlns:c16="http://schemas.microsoft.com/office/drawing/2014/chart" uri="{C3380CC4-5D6E-409C-BE32-E72D297353CC}">
              <c16:uniqueId val="{00000002-1358-44B0-AF33-40AEB4E66683}"/>
            </c:ext>
          </c:extLst>
        </c:ser>
        <c:ser>
          <c:idx val="3"/>
          <c:order val="3"/>
          <c:tx>
            <c:v>India</c:v>
          </c:tx>
          <c:spPr>
            <a:ln w="47520">
              <a:noFill/>
            </a:ln>
          </c:spPr>
          <c:marker>
            <c:symbol val="circle"/>
            <c:size val="14"/>
            <c:spPr>
              <a:solidFill>
                <a:srgbClr val="2E75B6"/>
              </a:solidFill>
              <a:ln>
                <a:solidFill>
                  <a:srgbClr val="2E75B6"/>
                </a:solidFill>
              </a:ln>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howLeaderLines val="0"/>
            <c:extLst>
              <c:ext xmlns:c15="http://schemas.microsoft.com/office/drawing/2012/chart" uri="{CE6537A1-D6FC-4f65-9D91-7224C49458BB}">
                <c15:showLeaderLines val="1"/>
              </c:ext>
            </c:extLst>
          </c:dLbls>
          <c:xVal>
            <c:numRef>
              <c:f>'[1]Comparison Data'!$F$6</c:f>
              <c:numCache>
                <c:formatCode>General</c:formatCode>
                <c:ptCount val="1"/>
                <c:pt idx="0">
                  <c:v>1907</c:v>
                </c:pt>
              </c:numCache>
            </c:numRef>
          </c:xVal>
          <c:yVal>
            <c:numRef>
              <c:f>'[1]Comparison Data'!$G$6</c:f>
              <c:numCache>
                <c:formatCode>General</c:formatCode>
                <c:ptCount val="1"/>
                <c:pt idx="0">
                  <c:v>1.73</c:v>
                </c:pt>
              </c:numCache>
            </c:numRef>
          </c:yVal>
          <c:smooth val="1"/>
          <c:extLst>
            <c:ext xmlns:c16="http://schemas.microsoft.com/office/drawing/2014/chart" uri="{C3380CC4-5D6E-409C-BE32-E72D297353CC}">
              <c16:uniqueId val="{00000003-1358-44B0-AF33-40AEB4E66683}"/>
            </c:ext>
          </c:extLst>
        </c:ser>
        <c:ser>
          <c:idx val="4"/>
          <c:order val="4"/>
          <c:tx>
            <c:v>Pakistan</c:v>
          </c:tx>
          <c:spPr>
            <a:ln w="47520">
              <a:noFill/>
            </a:ln>
          </c:spPr>
          <c:marker>
            <c:symbol val="circle"/>
            <c:size val="14"/>
            <c:spPr>
              <a:solidFill>
                <a:srgbClr val="27AE60"/>
              </a:solidFill>
              <a:ln>
                <a:solidFill>
                  <a:srgbClr val="27AE60"/>
                </a:solidFill>
              </a:ln>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howLeaderLines val="0"/>
            <c:extLst>
              <c:ext xmlns:c15="http://schemas.microsoft.com/office/drawing/2012/chart" uri="{CE6537A1-D6FC-4f65-9D91-7224C49458BB}">
                <c15:showLeaderLines val="1"/>
              </c:ext>
            </c:extLst>
          </c:dLbls>
          <c:xVal>
            <c:numRef>
              <c:f>'[1]Comparison Data'!$F$7</c:f>
              <c:numCache>
                <c:formatCode>General</c:formatCode>
                <c:ptCount val="1"/>
                <c:pt idx="0">
                  <c:v>1278</c:v>
                </c:pt>
              </c:numCache>
            </c:numRef>
          </c:xVal>
          <c:yVal>
            <c:numRef>
              <c:f>'[1]Comparison Data'!$G$7</c:f>
              <c:numCache>
                <c:formatCode>General</c:formatCode>
                <c:ptCount val="1"/>
                <c:pt idx="0">
                  <c:v>0.92</c:v>
                </c:pt>
              </c:numCache>
            </c:numRef>
          </c:yVal>
          <c:smooth val="1"/>
          <c:extLst>
            <c:ext xmlns:c16="http://schemas.microsoft.com/office/drawing/2014/chart" uri="{C3380CC4-5D6E-409C-BE32-E72D297353CC}">
              <c16:uniqueId val="{00000004-1358-44B0-AF33-40AEB4E66683}"/>
            </c:ext>
          </c:extLst>
        </c:ser>
        <c:ser>
          <c:idx val="5"/>
          <c:order val="5"/>
          <c:tx>
            <c:v>Bangladesh</c:v>
          </c:tx>
          <c:spPr>
            <a:ln w="47520">
              <a:noFill/>
            </a:ln>
          </c:spPr>
          <c:marker>
            <c:symbol val="circle"/>
            <c:size val="14"/>
            <c:spPr>
              <a:solidFill>
                <a:srgbClr val="7030A0"/>
              </a:solidFill>
              <a:ln>
                <a:solidFill>
                  <a:srgbClr val="7030A0"/>
                </a:solidFill>
              </a:ln>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howLeaderLines val="0"/>
            <c:extLst>
              <c:ext xmlns:c15="http://schemas.microsoft.com/office/drawing/2012/chart" uri="{CE6537A1-D6FC-4f65-9D91-7224C49458BB}">
                <c15:showLeaderLines val="1"/>
              </c:ext>
            </c:extLst>
          </c:dLbls>
          <c:xVal>
            <c:numRef>
              <c:f>'[1]Comparison Data'!$F$8</c:f>
              <c:numCache>
                <c:formatCode>General</c:formatCode>
                <c:ptCount val="1"/>
                <c:pt idx="0">
                  <c:v>2249</c:v>
                </c:pt>
              </c:numCache>
            </c:numRef>
          </c:xVal>
          <c:yVal>
            <c:numRef>
              <c:f>'[1]Comparison Data'!$G$8</c:f>
              <c:numCache>
                <c:formatCode>General</c:formatCode>
                <c:ptCount val="1"/>
                <c:pt idx="0">
                  <c:v>0.57999999999999996</c:v>
                </c:pt>
              </c:numCache>
            </c:numRef>
          </c:yVal>
          <c:smooth val="1"/>
          <c:extLst>
            <c:ext xmlns:c16="http://schemas.microsoft.com/office/drawing/2014/chart" uri="{C3380CC4-5D6E-409C-BE32-E72D297353CC}">
              <c16:uniqueId val="{00000005-1358-44B0-AF33-40AEB4E66683}"/>
            </c:ext>
          </c:extLst>
        </c:ser>
        <c:dLbls>
          <c:showLegendKey val="0"/>
          <c:showVal val="0"/>
          <c:showCatName val="0"/>
          <c:showSerName val="0"/>
          <c:showPercent val="0"/>
          <c:showBubbleSize val="0"/>
        </c:dLbls>
        <c:axId val="57864458"/>
        <c:axId val="96293625"/>
      </c:scatterChart>
      <c:valAx>
        <c:axId val="57864458"/>
        <c:scaling>
          <c:orientation val="minMax"/>
        </c:scaling>
        <c:delete val="0"/>
        <c:axPos val="b"/>
        <c:majorGridlines>
          <c:spPr>
            <a:ln w="9360">
              <a:solidFill>
                <a:srgbClr val="878787"/>
              </a:solidFill>
              <a:round/>
            </a:ln>
          </c:spPr>
        </c:majorGridlines>
        <c:title>
          <c:tx>
            <c:rich>
              <a:bodyPr/>
              <a:lstStyle/>
              <a:p>
                <a:r>
                  <a:rPr lang="en-US" sz="900" b="1" dirty="0">
                    <a:solidFill>
                      <a:srgbClr val="163828"/>
                    </a:solidFill>
                  </a:rPr>
                  <a:t>GDP per Capita (USD)</a:t>
                </a:r>
              </a:p>
            </c:rich>
          </c:tx>
          <c:overlay val="0"/>
        </c:title>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6293625"/>
        <c:crosses val="autoZero"/>
        <c:crossBetween val="midCat"/>
      </c:valAx>
      <c:valAx>
        <c:axId val="96293625"/>
        <c:scaling>
          <c:orientation val="minMax"/>
        </c:scaling>
        <c:delete val="0"/>
        <c:axPos val="l"/>
        <c:majorGridlines>
          <c:spPr>
            <a:ln w="9360">
              <a:solidFill>
                <a:srgbClr val="878787"/>
              </a:solidFill>
              <a:round/>
            </a:ln>
          </c:spPr>
        </c:majorGridlines>
        <c:title>
          <c:tx>
            <c:rich>
              <a:bodyPr/>
              <a:lstStyle/>
              <a:p>
                <a:r>
                  <a:rPr lang="en-US" sz="900" b="1" dirty="0">
                    <a:solidFill>
                      <a:srgbClr val="163828"/>
                    </a:solidFill>
                  </a:rPr>
                  <a:t>Per Capita CO₂ (t/person)</a:t>
                </a:r>
              </a:p>
            </c:rich>
          </c:tx>
          <c:overlay val="0"/>
        </c:title>
        <c:numFmt formatCode="0.0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7864458"/>
        <c:crosses val="autoZero"/>
        <c:crossBetween val="midCat"/>
      </c:valAx>
      <c:spPr>
        <a:solidFill>
          <a:srgbClr val="F1FBF4"/>
        </a:solid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207818</xdr:colOff>
      <xdr:row>9</xdr:row>
      <xdr:rowOff>0</xdr:rowOff>
    </xdr:from>
    <xdr:to>
      <xdr:col>15</xdr:col>
      <xdr:colOff>20877</xdr:colOff>
      <xdr:row>24</xdr:row>
      <xdr:rowOff>0</xdr:rowOff>
    </xdr:to>
    <xdr:graphicFrame macro="">
      <xdr:nvGraphicFramePr>
        <xdr:cNvPr id="6" name="Chart 5">
          <a:extLst>
            <a:ext uri="{FF2B5EF4-FFF2-40B4-BE49-F238E27FC236}">
              <a16:creationId xmlns:a16="http://schemas.microsoft.com/office/drawing/2014/main" id="{010FAF12-BAEC-4640-B2E0-42F0D42939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177452</xdr:colOff>
      <xdr:row>9</xdr:row>
      <xdr:rowOff>20876</xdr:rowOff>
    </xdr:from>
    <xdr:to>
      <xdr:col>27</xdr:col>
      <xdr:colOff>785091</xdr:colOff>
      <xdr:row>23</xdr:row>
      <xdr:rowOff>180269</xdr:rowOff>
    </xdr:to>
    <xdr:graphicFrame macro="">
      <xdr:nvGraphicFramePr>
        <xdr:cNvPr id="7" name="Chart 6">
          <a:extLst>
            <a:ext uri="{FF2B5EF4-FFF2-40B4-BE49-F238E27FC236}">
              <a16:creationId xmlns:a16="http://schemas.microsoft.com/office/drawing/2014/main" id="{793E84B0-E922-4F26-9925-4C156D2888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0</xdr:colOff>
      <xdr:row>26</xdr:row>
      <xdr:rowOff>0</xdr:rowOff>
    </xdr:from>
    <xdr:to>
      <xdr:col>15</xdr:col>
      <xdr:colOff>15445</xdr:colOff>
      <xdr:row>41</xdr:row>
      <xdr:rowOff>0</xdr:rowOff>
    </xdr:to>
    <xdr:graphicFrame macro="">
      <xdr:nvGraphicFramePr>
        <xdr:cNvPr id="8" name="Chart 7">
          <a:extLst>
            <a:ext uri="{FF2B5EF4-FFF2-40B4-BE49-F238E27FC236}">
              <a16:creationId xmlns:a16="http://schemas.microsoft.com/office/drawing/2014/main" id="{9DEC9E73-E0A4-42E6-A527-E1F37633A9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164524</xdr:colOff>
      <xdr:row>26</xdr:row>
      <xdr:rowOff>2816</xdr:rowOff>
    </xdr:from>
    <xdr:to>
      <xdr:col>27</xdr:col>
      <xdr:colOff>773548</xdr:colOff>
      <xdr:row>41</xdr:row>
      <xdr:rowOff>2816</xdr:rowOff>
    </xdr:to>
    <xdr:graphicFrame macro="">
      <xdr:nvGraphicFramePr>
        <xdr:cNvPr id="9" name="Chart 8">
          <a:extLst>
            <a:ext uri="{FF2B5EF4-FFF2-40B4-BE49-F238E27FC236}">
              <a16:creationId xmlns:a16="http://schemas.microsoft.com/office/drawing/2014/main" id="{18959588-91B6-4F8D-B998-2F3FFEB2E7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xdr:col>
      <xdr:colOff>501042</xdr:colOff>
      <xdr:row>43</xdr:row>
      <xdr:rowOff>0</xdr:rowOff>
    </xdr:from>
    <xdr:to>
      <xdr:col>24</xdr:col>
      <xdr:colOff>480164</xdr:colOff>
      <xdr:row>63</xdr:row>
      <xdr:rowOff>87675</xdr:rowOff>
    </xdr:to>
    <xdr:graphicFrame macro="">
      <xdr:nvGraphicFramePr>
        <xdr:cNvPr id="10" name="Chart 9">
          <a:extLst>
            <a:ext uri="{FF2B5EF4-FFF2-40B4-BE49-F238E27FC236}">
              <a16:creationId xmlns:a16="http://schemas.microsoft.com/office/drawing/2014/main" id="{C524ABBB-B879-45C7-9E7F-CB26524E68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230910</xdr:colOff>
      <xdr:row>25</xdr:row>
      <xdr:rowOff>328921</xdr:rowOff>
    </xdr:from>
    <xdr:to>
      <xdr:col>3</xdr:col>
      <xdr:colOff>311728</xdr:colOff>
      <xdr:row>40</xdr:row>
      <xdr:rowOff>164461</xdr:rowOff>
    </xdr:to>
    <mc:AlternateContent xmlns:mc="http://schemas.openxmlformats.org/markup-compatibility/2006" xmlns:a14="http://schemas.microsoft.com/office/drawing/2010/main">
      <mc:Choice Requires="a14">
        <xdr:graphicFrame macro="">
          <xdr:nvGraphicFramePr>
            <xdr:cNvPr id="14" name="Year 1">
              <a:extLst>
                <a:ext uri="{FF2B5EF4-FFF2-40B4-BE49-F238E27FC236}">
                  <a16:creationId xmlns:a16="http://schemas.microsoft.com/office/drawing/2014/main" id="{A66A925F-AEE9-482F-9F61-FA1AAFCB4E37}"/>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748495" y="6309902"/>
              <a:ext cx="1288516" cy="27828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Claude/Pakistan_Dashboar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shboard"/>
      <sheetName val="Data"/>
      <sheetName val="Comparison Data"/>
    </sheetNames>
    <sheetDataSet>
      <sheetData sheetId="0"/>
      <sheetData sheetId="1"/>
      <sheetData sheetId="2">
        <row r="3">
          <cell r="F3">
            <v>63516</v>
          </cell>
          <cell r="G3">
            <v>14.14</v>
          </cell>
        </row>
        <row r="4">
          <cell r="F4">
            <v>10627</v>
          </cell>
          <cell r="G4">
            <v>7.72</v>
          </cell>
        </row>
        <row r="5">
          <cell r="F5">
            <v>10938</v>
          </cell>
          <cell r="G5">
            <v>4.4800000000000004</v>
          </cell>
        </row>
        <row r="6">
          <cell r="F6">
            <v>1907</v>
          </cell>
          <cell r="G6">
            <v>1.73</v>
          </cell>
        </row>
        <row r="7">
          <cell r="F7">
            <v>1278</v>
          </cell>
          <cell r="G7">
            <v>0.92</v>
          </cell>
        </row>
        <row r="8">
          <cell r="F8">
            <v>2249</v>
          </cell>
          <cell r="G8">
            <v>0.57999999999999996</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eel markana" refreshedDate="46114.541411805556" createdVersion="7" refreshedVersion="7" minRefreshableVersion="3" recordCount="21" xr:uid="{970D46E1-6E04-4CAE-810C-E259E76350EA}">
  <cacheSource type="worksheet">
    <worksheetSource ref="E3:M24" sheet="PAK"/>
  </cacheSource>
  <cacheFields count="9">
    <cacheField name="Year" numFmtId="0">
      <sharedItems containsSemiMixedTypes="0" containsString="0" containsNumber="1" containsInteger="1" minValue="2000" maxValue="2020" count="21">
        <n v="2000"/>
        <n v="2001"/>
        <n v="2002"/>
        <n v="2003"/>
        <n v="2004"/>
        <n v="2005"/>
        <n v="2006"/>
        <n v="2007"/>
        <n v="2008"/>
        <n v="2009"/>
        <n v="2010"/>
        <n v="2011"/>
        <n v="2012"/>
        <n v="2013"/>
        <n v="2014"/>
        <n v="2015"/>
        <n v="2016"/>
        <n v="2017"/>
        <n v="2018"/>
        <n v="2019"/>
        <n v="2020"/>
      </sharedItems>
    </cacheField>
    <cacheField name="Total CO₂ (Mt)_x000a_Pakistan" numFmtId="2">
      <sharedItems containsSemiMixedTypes="0" containsString="0" containsNumber="1" minValue="103.94" maxValue="215.51" count="20">
        <n v="103.94"/>
        <n v="105.4"/>
        <n v="110.57"/>
        <n v="113.14"/>
        <n v="124.64"/>
        <n v="129.94999999999999"/>
        <n v="137.91"/>
        <n v="148.35"/>
        <n v="147.9"/>
        <n v="147.5"/>
        <n v="149.49"/>
        <n v="150.56"/>
        <n v="148.18"/>
        <n v="150.81"/>
        <n v="144.9"/>
        <n v="176.74"/>
        <n v="211.98"/>
        <n v="203.5"/>
        <n v="190.83"/>
        <n v="215.51"/>
      </sharedItems>
    </cacheField>
    <cacheField name="Per Capita (t)_x000a_Pakistan" numFmtId="164">
      <sharedItems containsSemiMixedTypes="0" containsString="0" containsNumber="1" minValue="0.66200000000000003" maxValue="0.94899999999999995"/>
    </cacheField>
    <cacheField name="GDP/Capita ($)_x000a_Pakistan" numFmtId="3">
      <sharedItems containsSemiMixedTypes="0" containsString="0" containsNumber="1" containsInteger="1" minValue="600" maxValue="1569"/>
    </cacheField>
    <cacheField name="Global Share (%)_x000a_Pakistan" numFmtId="164">
      <sharedItems containsSemiMixedTypes="0" containsString="0" containsNumber="1" minValue="0.40699999999999997" maxValue="0.65700000000000003"/>
    </cacheField>
    <cacheField name="Total CO₂ (Mt)_x000a_India" numFmtId="2">
      <sharedItems containsSemiMixedTypes="0" containsString="0" containsNumber="1" minValue="987.07" maxValue="2611.17"/>
    </cacheField>
    <cacheField name="Per Capita (t)_x000a_India" numFmtId="164">
      <sharedItems containsSemiMixedTypes="0" containsString="0" containsNumber="1" minValue="0.92900000000000005" maxValue="1.8879999999999999"/>
    </cacheField>
    <cacheField name="Share (%)_x000a_India" numFmtId="164">
      <sharedItems containsSemiMixedTypes="0" containsString="0" containsNumber="1" minValue="3.859" maxValue="7.06"/>
    </cacheField>
    <cacheField name="World Avg_x000a_Per Capita (t)" numFmtId="164">
      <sharedItems containsSemiMixedTypes="0" containsString="0" containsNumber="1" minValue="4.1139999999999999" maxValue="4.87"/>
    </cacheField>
  </cacheFields>
  <extLst>
    <ext xmlns:x14="http://schemas.microsoft.com/office/spreadsheetml/2009/9/main" uri="{725AE2AE-9491-48be-B2B4-4EB974FC3084}">
      <x14:pivotCacheDefinition pivotCacheId="188426203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eel markana" refreshedDate="46114.578048263887" createdVersion="7" refreshedVersion="7" minRefreshableVersion="3" recordCount="126" xr:uid="{046E846F-4C7D-4855-90F7-B5A27C5B0744}">
  <cacheSource type="worksheet">
    <worksheetSource name="Table1"/>
  </cacheSource>
  <cacheFields count="10">
    <cacheField name="Country" numFmtId="0">
      <sharedItems count="6">
        <s v="Bangladesh"/>
        <s v="China"/>
        <s v="India"/>
        <s v="Pakistan"/>
        <s v="United States"/>
        <s v="World"/>
      </sharedItems>
    </cacheField>
    <cacheField name="Code" numFmtId="0">
      <sharedItems/>
    </cacheField>
    <cacheField name="Year" numFmtId="0">
      <sharedItems containsSemiMixedTypes="0" containsString="0" containsNumber="1" containsInteger="1" minValue="2000" maxValue="2020" count="21">
        <n v="2000"/>
        <n v="2001"/>
        <n v="2002"/>
        <n v="2003"/>
        <n v="2004"/>
        <n v="2005"/>
        <n v="2006"/>
        <n v="2007"/>
        <n v="2008"/>
        <n v="2009"/>
        <n v="2010"/>
        <n v="2011"/>
        <n v="2012"/>
        <n v="2013"/>
        <n v="2014"/>
        <n v="2015"/>
        <n v="2016"/>
        <n v="2017"/>
        <n v="2018"/>
        <n v="2019"/>
        <n v="2020"/>
      </sharedItems>
    </cacheField>
    <cacheField name="Annual CO2 emissions" numFmtId="0">
      <sharedItems containsSemiMixedTypes="0" containsString="0" containsNumber="1" containsInteger="1" minValue="26539266" maxValue="37086570000"/>
    </cacheField>
    <cacheField name="Population, total" numFmtId="0">
      <sharedItems containsSemiMixedTypes="0" containsString="0" containsNumber="1" containsInteger="1" minValue="134544304" maxValue="7854748424"/>
    </cacheField>
    <cacheField name="GDP per capita (current US$)" numFmtId="0">
      <sharedItems containsSemiMixedTypes="0" containsString="0" containsNumber="1" minValue="393.886422327628" maxValue="64746.4506778863" count="126">
        <n v="396.67073024975099"/>
        <n v="394.65641001890998"/>
        <n v="393.886422327628"/>
        <n v="426.74880754361999"/>
        <n v="455.61401690979801"/>
        <n v="480.08585075451998"/>
        <n v="490.38802653328901"/>
        <n v="537.95549279291095"/>
        <n v="613.06204104124004"/>
        <n v="679.21147742805601"/>
        <n v="757.38528036150797"/>
        <n v="837.33694469564705"/>
        <n v="859.68053637549701"/>
        <n v="958.262989798283"/>
        <n v="1094.46199702838"/>
        <n v="1224.38647668165"/>
        <n v="1649.2838085860101"/>
        <n v="1811.08221668646"/>
        <n v="1965.24372731467"/>
        <n v="2129.7989695460601"/>
        <n v="2248.8507882823301"/>
        <n v="969.199513696287"/>
        <n v="1065.4059757451901"/>
        <n v="1163.55957673426"/>
        <n v="1306.97245408557"/>
        <n v="1530.92726215723"/>
        <n v="1777.6449682846401"/>
        <n v="2129.25696999613"/>
        <n v="2734.7270987769298"/>
        <n v="3523.4430206521301"/>
        <n v="3898.2445915881099"/>
        <n v="4629.2455171007696"/>
        <n v="5703.7602797334603"/>
        <n v="6405.0574241349004"/>
        <n v="7147.0351862234402"/>
        <n v="7781.0659748497401"/>
        <n v="8175.3328507739297"/>
        <n v="8254.8685932035696"/>
        <n v="8979.6765270985597"/>
        <n v="10085.6638148819"/>
        <n v="10342.9009524335"/>
        <n v="10627.4637989619"/>
        <n v="442.75021893726301"/>
        <n v="450.357900514128"/>
        <n v="469.14992897392699"/>
        <n v="544.143133545002"/>
        <n v="624.258826510066"/>
        <n v="710.48808040894903"/>
        <n v="801.66835365902205"/>
        <n v="1021.8870770682601"/>
        <n v="992.51958492382801"/>
        <n v="1094.9497459843601"/>
        <n v="1347.51939071367"/>
        <n v="1445.4612748603699"/>
        <n v="1429.3219952003201"/>
        <n v="1432.8439751219501"/>
        <n v="1553.88396075118"/>
        <n v="1583.99815907985"/>
        <n v="1707.5089291224299"/>
        <n v="1950.1046828086601"/>
        <n v="1966.25455171679"/>
        <n v="2041.4286369858501"/>
        <n v="1907.0425163766899"/>
        <n v="642.33834649989797"/>
        <n v="609.93950690507302"/>
        <n v="599.93734572392702"/>
        <n v="672.44178669893995"/>
        <n v="771.90224734895401"/>
        <n v="827.61986118992604"/>
        <n v="900.87356498480801"/>
        <n v="998.09011419752403"/>
        <n v="1067.0432456528399"/>
        <n v="963.78806639522497"/>
        <n v="987.30457112448505"/>
        <n v="1131.7351383432399"/>
        <n v="1204.36475491585"/>
        <n v="1225.4340119198"/>
        <n v="1266.6134084995899"/>
        <n v="1380.4702083831701"/>
        <n v="1424.69161195897"/>
        <n v="1519.23459514248"/>
        <n v="1569.33814626355"/>
        <n v="1390.41690981745"/>
        <n v="1278.3973520689599"/>
        <n v="36329.9560727102"/>
        <n v="37133.623113437003"/>
        <n v="37997.759657305098"/>
        <n v="39490.274955700697"/>
        <n v="41724.631628762399"/>
        <n v="44123.4070679055"/>
        <n v="46302.000880005602"/>
        <n v="48050.223777113497"/>
        <n v="48570.045980458599"/>
        <n v="47194.943354733601"/>
        <n v="48642.610017931198"/>
        <n v="50024.868799397998"/>
        <n v="51708.401155657702"/>
        <n v="53179.012763456099"/>
        <n v="54973.420751571197"/>
        <n v="56572.918899606302"/>
        <n v="57638.101836719201"/>
        <n v="59635.0984397965"/>
        <n v="62499.874439006802"/>
        <n v="64746.4506778863"/>
        <n v="63515.949180783296"/>
        <n v="5501.2642181645397"/>
        <n v="5394.6851252672504"/>
        <n v="5530.0210426296499"/>
        <n v="6122.4344609802802"/>
        <n v="6811.4819576227101"/>
        <n v="7284.3133102376296"/>
        <n v="7796.3493101533604"/>
        <n v="8677.5710270763193"/>
        <n v="9415.3578612518195"/>
        <n v="8816.8105604156008"/>
        <n v="9542.7288624920802"/>
        <n v="10485.1771943036"/>
        <n v="10583.996671598899"/>
        <n v="10739.8911620948"/>
        <n v="10885.7966024868"/>
        <n v="10161.9445773234"/>
        <n v="10204.9287763386"/>
        <n v="10747.764306505"/>
        <n v="11309.3830773178"/>
        <n v="11376.081813447599"/>
        <n v="10937.6846205191"/>
      </sharedItems>
    </cacheField>
    <cacheField name="Per Capita CO2 emissions " numFmtId="0">
      <sharedItems containsSemiMixedTypes="0" containsString="0" containsNumber="1" minValue="0.19725298813095796" maxValue="21.346422362403189" count="126">
        <n v="0.19725298813095796"/>
        <n v="0.22706798782887949"/>
        <n v="0.23037534936278722"/>
        <n v="0.2376097793783602"/>
        <n v="0.25176664068911259"/>
        <n v="0.26062585874356514"/>
        <n v="0.28500073559157318"/>
        <n v="0.28836618825858451"/>
        <n v="0.30333979098903607"/>
        <n v="0.32602349803624509"/>
        <n v="0.35502510312267221"/>
        <n v="0.3619527348060248"/>
        <n v="0.38501206625253953"/>
        <n v="0.41373481245618432"/>
        <n v="0.42763852981569095"/>
        <n v="0.4827744714515953"/>
        <n v="0.50842719805144809"/>
        <n v="0.5335281193898761"/>
        <n v="0.52963837164953997"/>
        <n v="0.57489499542652944"/>
        <n v="0.57564779001823863"/>
        <n v="2.885854297922219"/>
        <n v="2.928108031607501"/>
        <n v="3.2007033739456419"/>
        <n v="3.752911906240298"/>
        <n v="4.0205708774569375"/>
        <n v="4.5116978338907128"/>
        <n v="4.9474336013180578"/>
        <n v="5.2923153385917585"/>
        <n v="5.6561172531715806"/>
        <n v="5.9203243543710471"/>
        <n v="6.4364325467872217"/>
        <n v="7.0779972268379634"/>
        <n v="7.2126584895767953"/>
        <n v="7.2931919544614301"/>
        <n v="7.2718987360226262"/>
        <n v="7.1442320235386196"/>
        <n v="7.0242435815217004"/>
        <n v="7.1622300290428047"/>
        <n v="7.3760229832615698"/>
        <n v="7.6104088453519632"/>
        <n v="7.7220041102685846"/>
        <n v="0.93302192042034515"/>
        <n v="0.92884286445967335"/>
        <n v="0.94091652920163893"/>
        <n v="0.95665748055839317"/>
        <n v="0.99878475060403027"/>
        <n v="1.0352626768421773"/>
        <n v="1.1026897244267053"/>
        <n v="1.1703311189803494"/>
        <n v="1.2338176141000059"/>
        <n v="1.3164382000858696"/>
        <n v="1.3498627953924374"/>
        <n v="1.399984034886135"/>
        <n v="1.5070187111621938"/>
        <n v="1.5398145998852777"/>
        <n v="1.6368889246357403"/>
        <n v="1.6805544651933071"/>
        <n v="1.7504744854395364"/>
        <n v="1.7840684719547732"/>
        <n v="1.8879060037245716"/>
        <n v="1.8798543685056746"/>
        <n v="1.7272931951710477"/>
        <n v="0.67110218150958456"/>
        <n v="0.66176982341162904"/>
        <n v="0.67739568262715955"/>
        <n v="0.67704896231139577"/>
        <n v="0.72765334002778981"/>
        <n v="0.7406386495791254"/>
        <n v="0.76752846921425766"/>
        <n v="0.80408917549934389"/>
        <n v="0.78048597515071216"/>
        <n v="0.76323503124096248"/>
        <n v="0.74033670719173839"/>
        <n v="0.73369907782022681"/>
        <n v="0.72498268563211432"/>
        <n v="0.70204314811369117"/>
        <n v="0.7038468646673196"/>
        <n v="0.66682756312421998"/>
        <n v="0.80286130660551358"/>
        <n v="0.94941986675947765"/>
        <n v="0.89675527080967721"/>
        <n v="0.82679864258241043"/>
        <n v="0.91705510136933199"/>
        <n v="21.346422362403189"/>
        <n v="20.716509277300048"/>
        <n v="20.679063047164995"/>
        <n v="20.704156338944376"/>
        <n v="20.872385307727594"/>
        <n v="20.732856701562135"/>
        <n v="20.260500311428473"/>
        <n v="20.321741432321122"/>
        <n v="19.46510507216049"/>
        <n v="17.883354488219148"/>
        <n v="18.32465734571554"/>
        <n v="17.76225812550388"/>
        <n v="16.960878608359184"/>
        <n v="17.281281381000142"/>
        <n v="17.325777030933896"/>
        <n v="16.681927758142852"/>
        <n v="16.171751769227967"/>
        <n v="15.907166733623974"/>
        <n v="16.318885346508694"/>
        <n v="15.855530457306772"/>
        <n v="14.144358070861939"/>
        <n v="4.1402077095725183"/>
        <n v="4.1140959958170527"/>
        <n v="4.1509433014627328"/>
        <n v="4.3141604738804524"/>
        <n v="4.4064434463552598"/>
        <n v="4.5011655121238867"/>
        <n v="4.5937323635136718"/>
        <n v="4.6703692654139788"/>
        <n v="4.6921303658389162"/>
        <n v="4.5561494938453997"/>
        <n v="4.7588058832911146"/>
        <n v="4.8651624121765229"/>
        <n v="4.870430668025385"/>
        <n v="4.8549879888311009"/>
        <n v="4.8225954472167158"/>
        <n v="4.7574657953816599"/>
        <n v="4.7009422477864087"/>
        <n v="4.7244729660631508"/>
        <n v="4.7723644961169462"/>
        <n v="4.7681317683126805"/>
        <n v="4.4760478760306128"/>
      </sharedItems>
    </cacheField>
    <cacheField name="Share of global annual CO2 emissions (%)" numFmtId="0">
      <sharedItems containsSemiMixedTypes="0" containsString="0" containsNumber="1" minValue="0.1040325" maxValue="100"/>
    </cacheField>
    <cacheField name="Annual greenhouse gas emissions including land use" numFmtId="0">
      <sharedItems containsSemiMixedTypes="0" containsString="0" containsNumber="1" containsInteger="1" minValue="124542760" maxValue="52571340000"/>
    </cacheField>
    <cacheField name="GDP" numFmtId="0">
      <sharedItems containsSemiMixedTypes="0" containsString="0" containsNumber="1" minValue="53369787318.624496" maxValue="88483262418196.734"/>
    </cacheField>
  </cacheFields>
  <extLst>
    <ext xmlns:x14="http://schemas.microsoft.com/office/spreadsheetml/2009/9/main" uri="{725AE2AE-9491-48be-B2B4-4EB974FC3084}">
      <x14:pivotCacheDefinition pivotCacheId="526607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
  <r>
    <x v="0"/>
    <x v="0"/>
    <n v="0.67100000000000004"/>
    <n v="642"/>
    <n v="0.40699999999999997"/>
    <n v="987.07"/>
    <n v="0.93300000000000005"/>
    <n v="3.867"/>
    <n v="4.1399999999999997"/>
  </r>
  <r>
    <x v="1"/>
    <x v="1"/>
    <n v="0.66200000000000003"/>
    <n v="610"/>
    <n v="0.41"/>
    <n v="1001.2"/>
    <n v="0.92900000000000005"/>
    <n v="3.8919999999999999"/>
    <n v="4.1139999999999999"/>
  </r>
  <r>
    <x v="2"/>
    <x v="2"/>
    <n v="0.67700000000000005"/>
    <n v="600"/>
    <n v="0.43"/>
    <n v="1032.75"/>
    <n v="0.94099999999999995"/>
    <n v="3.9279999999999999"/>
    <n v="4.1509999999999998"/>
  </r>
  <r>
    <x v="3"/>
    <x v="3"/>
    <n v="0.67700000000000005"/>
    <n v="672"/>
    <n v="0.42499999999999999"/>
    <n v="1068.4000000000001"/>
    <n v="0.95699999999999996"/>
    <n v="3.859"/>
    <n v="4.3140000000000001"/>
  </r>
  <r>
    <x v="4"/>
    <x v="4"/>
    <n v="0.72799999999999998"/>
    <n v="772"/>
    <n v="0.45300000000000001"/>
    <n v="1134.6099999999999"/>
    <n v="0.999"/>
    <n v="3.96"/>
    <n v="4.4059999999999997"/>
  </r>
  <r>
    <x v="5"/>
    <x v="5"/>
    <n v="0.74099999999999999"/>
    <n v="828"/>
    <n v="0.45100000000000001"/>
    <n v="1195.3900000000001"/>
    <n v="1.0349999999999999"/>
    <n v="4.0339999999999998"/>
    <n v="4.5010000000000003"/>
  </r>
  <r>
    <x v="6"/>
    <x v="6"/>
    <n v="0.76800000000000002"/>
    <n v="901"/>
    <n v="0.47"/>
    <n v="1293.32"/>
    <n v="1.103"/>
    <n v="4.22"/>
    <n v="4.5940000000000003"/>
  </r>
  <r>
    <x v="7"/>
    <x v="7"/>
    <n v="0.80400000000000005"/>
    <n v="998"/>
    <n v="0.5"/>
    <n v="1393.49"/>
    <n v="1.17"/>
    <n v="4.4160000000000004"/>
    <n v="4.67"/>
  </r>
  <r>
    <x v="8"/>
    <x v="8"/>
    <n v="0.78"/>
    <n v="1067"/>
    <n v="0.48399999999999999"/>
    <n v="1490.37"/>
    <n v="1.234"/>
    <n v="4.6440000000000001"/>
    <n v="4.6920000000000002"/>
  </r>
  <r>
    <x v="9"/>
    <x v="7"/>
    <n v="0.76300000000000001"/>
    <n v="964"/>
    <n v="0.49299999999999999"/>
    <n v="1613.33"/>
    <n v="1.3160000000000001"/>
    <n v="5.1109999999999998"/>
    <n v="4.556"/>
  </r>
  <r>
    <x v="10"/>
    <x v="9"/>
    <n v="0.74"/>
    <n v="987"/>
    <n v="0.46200000000000002"/>
    <n v="1678.53"/>
    <n v="1.35"/>
    <n v="5.0289999999999999"/>
    <n v="4.7590000000000003"/>
  </r>
  <r>
    <x v="11"/>
    <x v="10"/>
    <n v="0.73399999999999999"/>
    <n v="1132"/>
    <n v="0.44900000000000001"/>
    <n v="1765.69"/>
    <n v="1.4"/>
    <n v="5.1139999999999999"/>
    <n v="4.8650000000000002"/>
  </r>
  <r>
    <x v="12"/>
    <x v="11"/>
    <n v="0.72499999999999998"/>
    <n v="1204"/>
    <n v="0.442"/>
    <n v="1926.99"/>
    <n v="1.5069999999999999"/>
    <n v="5.5019999999999998"/>
    <n v="4.87"/>
  </r>
  <r>
    <x v="13"/>
    <x v="12"/>
    <n v="0.70199999999999996"/>
    <n v="1225"/>
    <n v="0.43"/>
    <n v="1995.34"/>
    <n v="1.54"/>
    <n v="5.6520000000000001"/>
    <n v="4.8550000000000004"/>
  </r>
  <r>
    <x v="14"/>
    <x v="13"/>
    <n v="0.70399999999999996"/>
    <n v="1267"/>
    <n v="0.442"/>
    <n v="2148.0500000000002"/>
    <n v="1.637"/>
    <n v="6.06"/>
    <n v="4.8230000000000004"/>
  </r>
  <r>
    <x v="15"/>
    <x v="14"/>
    <n v="0.66700000000000004"/>
    <n v="1380"/>
    <n v="0.42499999999999999"/>
    <n v="2231.8200000000002"/>
    <n v="1.681"/>
    <n v="6.31"/>
    <n v="4.7569999999999997"/>
  </r>
  <r>
    <x v="16"/>
    <x v="15"/>
    <n v="0.80300000000000005"/>
    <n v="1425"/>
    <n v="0.503"/>
    <n v="2352.54"/>
    <n v="1.75"/>
    <n v="6.6479999999999997"/>
    <n v="4.7009999999999996"/>
  </r>
  <r>
    <x v="17"/>
    <x v="16"/>
    <n v="0.94899999999999995"/>
    <n v="1519"/>
    <n v="0.60699999999999998"/>
    <n v="2425.7199999999998"/>
    <n v="1.784"/>
    <n v="6.742"/>
    <n v="4.7240000000000002"/>
  </r>
  <r>
    <x v="18"/>
    <x v="17"/>
    <n v="0.89700000000000002"/>
    <n v="1569"/>
    <n v="0.57299999999999995"/>
    <n v="2595.23"/>
    <n v="1.8879999999999999"/>
    <n v="7.06"/>
    <n v="4.7720000000000002"/>
  </r>
  <r>
    <x v="19"/>
    <x v="18"/>
    <n v="0.82699999999999996"/>
    <n v="1390"/>
    <n v="0.56000000000000005"/>
    <n v="2611.17"/>
    <n v="1.88"/>
    <n v="7.0419999999999998"/>
    <n v="4.7679999999999998"/>
  </r>
  <r>
    <x v="20"/>
    <x v="19"/>
    <n v="0.91700000000000004"/>
    <n v="1278"/>
    <n v="0.65700000000000003"/>
    <n v="2422.73"/>
    <n v="1.7270000000000001"/>
    <n v="6.8940000000000001"/>
    <n v="4.47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6">
  <r>
    <x v="0"/>
    <s v="BGD"/>
    <x v="0"/>
    <n v="26539266"/>
    <n v="134544304"/>
    <x v="0"/>
    <x v="0"/>
    <n v="0.1040325"/>
    <n v="124542760"/>
    <n v="53369787318.624496"/>
  </r>
  <r>
    <x v="0"/>
    <s v="BGD"/>
    <x v="1"/>
    <n v="31064220"/>
    <n v="136805810"/>
    <x v="1"/>
    <x v="1"/>
    <n v="0.12084286"/>
    <n v="128718780"/>
    <n v="53991289844.329094"/>
  </r>
  <r>
    <x v="0"/>
    <s v="BGD"/>
    <x v="2"/>
    <n v="32006890"/>
    <n v="138933658"/>
    <x v="2"/>
    <x v="2"/>
    <n v="0.12180632"/>
    <n v="130745050"/>
    <n v="54724081490.510231"/>
  </r>
  <r>
    <x v="0"/>
    <s v="BGD"/>
    <x v="3"/>
    <n v="33495934"/>
    <n v="140970351"/>
    <x v="3"/>
    <x v="3"/>
    <n v="0.121056445"/>
    <n v="132480960"/>
    <n v="60158929188.255554"/>
  </r>
  <r>
    <x v="0"/>
    <s v="BGD"/>
    <x v="4"/>
    <n v="35978172"/>
    <n v="142902856"/>
    <x v="4"/>
    <x v="4"/>
    <n v="0.12566778000000001"/>
    <n v="134663090"/>
    <n v="65108544250.042427"/>
  </r>
  <r>
    <x v="0"/>
    <s v="BGD"/>
    <x v="5"/>
    <n v="37716676"/>
    <n v="144715786"/>
    <x v="5"/>
    <x v="5"/>
    <n v="0.12735996999999999"/>
    <n v="137185170"/>
    <n v="69476001239.419052"/>
  </r>
  <r>
    <x v="0"/>
    <s v="BGD"/>
    <x v="6"/>
    <n v="41725810"/>
    <n v="146405973"/>
    <x v="6"/>
    <x v="6"/>
    <n v="0.13623241999999999"/>
    <n v="143213220"/>
    <n v="71795736172.155991"/>
  </r>
  <r>
    <x v="0"/>
    <s v="BGD"/>
    <x v="7"/>
    <n v="42675104"/>
    <n v="147989278"/>
    <x v="7"/>
    <x v="7"/>
    <n v="0.13532825000000001"/>
    <n v="147177870"/>
    <n v="79611644974.557098"/>
  </r>
  <r>
    <x v="0"/>
    <s v="BGD"/>
    <x v="8"/>
    <n v="45341492"/>
    <n v="149474264"/>
    <x v="8"/>
    <x v="8"/>
    <n v="0.14136438000000001"/>
    <n v="155325460"/>
    <n v="91636997370.977142"/>
  </r>
  <r>
    <x v="0"/>
    <s v="BGD"/>
    <x v="9"/>
    <n v="49188376"/>
    <n v="150873714"/>
    <x v="9"/>
    <x v="9"/>
    <n v="0.15594605"/>
    <n v="158020210"/>
    <n v="102475158190.99799"/>
  </r>
  <r>
    <x v="0"/>
    <s v="BGD"/>
    <x v="10"/>
    <n v="54035524"/>
    <n v="152201981"/>
    <x v="10"/>
    <x v="10"/>
    <n v="0.16199689"/>
    <n v="164582450"/>
    <n v="115275540051.2619"/>
  </r>
  <r>
    <x v="0"/>
    <s v="BGD"/>
    <x v="11"/>
    <n v="55592710"/>
    <n v="153591076"/>
    <x v="11"/>
    <x v="11"/>
    <n v="0.16111710000000001"/>
    <n v="167877490"/>
    <n v="128607482310.35692"/>
  </r>
  <r>
    <x v="0"/>
    <s v="BGD"/>
    <x v="12"/>
    <n v="59703860"/>
    <n v="155070101"/>
    <x v="12"/>
    <x v="12"/>
    <n v="0.17058234999999999"/>
    <n v="172465250"/>
    <n v="133310747603.4825"/>
  </r>
  <r>
    <x v="0"/>
    <s v="BGD"/>
    <x v="13"/>
    <n v="64762796"/>
    <n v="156532141"/>
    <x v="13"/>
    <x v="13"/>
    <n v="0.18345542000000001"/>
    <n v="176806000"/>
    <n v="149998957434.1864"/>
  </r>
  <r>
    <x v="0"/>
    <s v="BGD"/>
    <x v="14"/>
    <n v="67551890"/>
    <n v="157964929"/>
    <x v="14"/>
    <x v="14"/>
    <n v="0.19055391999999999"/>
    <n v="180450190"/>
    <n v="172886611653.78625"/>
  </r>
  <r>
    <x v="0"/>
    <s v="BGD"/>
    <x v="15"/>
    <n v="76946130"/>
    <n v="159383179"/>
    <x v="15"/>
    <x v="15"/>
    <n v="0.21734105000000001"/>
    <n v="193624060"/>
    <n v="195146608978.13077"/>
  </r>
  <r>
    <x v="0"/>
    <s v="BGD"/>
    <x v="16"/>
    <n v="81761160"/>
    <n v="160811932"/>
    <x v="16"/>
    <x v="16"/>
    <n v="0.23085623999999999"/>
    <n v="195212640"/>
    <n v="265224515675.03445"/>
  </r>
  <r>
    <x v="0"/>
    <s v="BGD"/>
    <x v="17"/>
    <n v="86530870"/>
    <n v="162186147"/>
    <x v="17"/>
    <x v="17"/>
    <n v="0.24042988000000001"/>
    <n v="204846830"/>
    <n v="293732446624.59607"/>
  </r>
  <r>
    <x v="0"/>
    <s v="BGD"/>
    <x v="18"/>
    <n v="86608110"/>
    <n v="163523103"/>
    <x v="18"/>
    <x v="18"/>
    <n v="0.23580253000000001"/>
    <n v="208472980"/>
    <n v="321362752441.7807"/>
  </r>
  <r>
    <x v="0"/>
    <s v="BGD"/>
    <x v="19"/>
    <n v="94807690"/>
    <n v="164913055"/>
    <x v="19"/>
    <x v="19"/>
    <n v="0.25551807999999998"/>
    <n v="217988830"/>
    <n v="351231654603.69275"/>
  </r>
  <r>
    <x v="0"/>
    <s v="BGD"/>
    <x v="20"/>
    <n v="95729090"/>
    <n v="166298024"/>
    <x v="20"/>
    <x v="20"/>
    <n v="0.27174421999999998"/>
    <n v="219778350"/>
    <n v="373979442362.19385"/>
  </r>
  <r>
    <x v="1"/>
    <s v="CHN"/>
    <x v="0"/>
    <n v="3643809500"/>
    <n v="1262645000"/>
    <x v="21"/>
    <x v="21"/>
    <n v="14.304771000000001"/>
    <n v="5282097700"/>
    <n v="1223754919971.0483"/>
  </r>
  <r>
    <x v="1"/>
    <s v="CHN"/>
    <x v="1"/>
    <n v="3724114200"/>
    <n v="1271850000"/>
    <x v="22"/>
    <x v="22"/>
    <n v="14.504269000000001"/>
    <n v="5282241500"/>
    <n v="1355036590251.52"/>
  </r>
  <r>
    <x v="1"/>
    <s v="CHN"/>
    <x v="2"/>
    <n v="4098180600"/>
    <n v="1280400000"/>
    <x v="23"/>
    <x v="23"/>
    <n v="15.61467"/>
    <n v="5600191000"/>
    <n v="1489821682050.5464"/>
  </r>
  <r>
    <x v="1"/>
    <s v="CHN"/>
    <x v="3"/>
    <n v="4835251700"/>
    <n v="1288400000"/>
    <x v="24"/>
    <x v="24"/>
    <n v="17.496234999999999"/>
    <n v="6373199000"/>
    <n v="1683903309843.8484"/>
  </r>
  <r>
    <x v="1"/>
    <s v="CHN"/>
    <x v="4"/>
    <n v="5210961400"/>
    <n v="1296075000"/>
    <x v="25"/>
    <x v="25"/>
    <n v="18.221775000000001"/>
    <n v="6840591000"/>
    <n v="1984196551300.4319"/>
  </r>
  <r>
    <x v="1"/>
    <s v="CHN"/>
    <x v="5"/>
    <n v="5881990700"/>
    <n v="1303720000"/>
    <x v="26"/>
    <x v="26"/>
    <n v="19.862321999999999"/>
    <n v="7551543000"/>
    <n v="2317551298052.0508"/>
  </r>
  <r>
    <x v="1"/>
    <s v="CHN"/>
    <x v="6"/>
    <n v="6486184400"/>
    <n v="1311020000"/>
    <x v="27"/>
    <x v="27"/>
    <n v="21.203624999999999"/>
    <n v="8215579000"/>
    <n v="2791498472804.3262"/>
  </r>
  <r>
    <x v="1"/>
    <s v="CHN"/>
    <x v="7"/>
    <n v="6974663000"/>
    <n v="1317885000"/>
    <x v="28"/>
    <x v="28"/>
    <n v="22.145636"/>
    <n v="8701731000"/>
    <n v="3604055822571.6343"/>
  </r>
  <r>
    <x v="1"/>
    <s v="CHN"/>
    <x v="8"/>
    <n v="7492404000"/>
    <n v="1324655000"/>
    <x v="29"/>
    <x v="29"/>
    <n v="23.38795"/>
    <n v="9244500000"/>
    <n v="4667346414521.9473"/>
  </r>
  <r>
    <x v="1"/>
    <s v="CHN"/>
    <x v="9"/>
    <n v="7881491000"/>
    <n v="1331260000"/>
    <x v="30"/>
    <x v="30"/>
    <n v="25.017748000000001"/>
    <n v="9644707000"/>
    <n v="5189577094997.5869"/>
  </r>
  <r>
    <x v="1"/>
    <s v="CHN"/>
    <x v="10"/>
    <n v="8610048000"/>
    <n v="1337705000"/>
    <x v="31"/>
    <x v="31"/>
    <n v="25.844228999999999"/>
    <n v="10308954000"/>
    <n v="6192564874453.2852"/>
  </r>
  <r>
    <x v="1"/>
    <s v="CHN"/>
    <x v="11"/>
    <n v="9520154000"/>
    <n v="1345035000"/>
    <x v="32"/>
    <x v="32"/>
    <n v="27.626311999999999"/>
    <n v="11352634000"/>
    <n v="7671757207851.2949"/>
  </r>
  <r>
    <x v="1"/>
    <s v="CHN"/>
    <x v="12"/>
    <n v="9767310000"/>
    <n v="1354190000"/>
    <x v="33"/>
    <x v="33"/>
    <n v="27.940819000000001"/>
    <n v="11526329000"/>
    <n v="8673664713189.2412"/>
  </r>
  <r>
    <x v="1"/>
    <s v="CHN"/>
    <x v="13"/>
    <n v="9942371000"/>
    <n v="1363240000"/>
    <x v="34"/>
    <x v="34"/>
    <n v="28.203576999999999"/>
    <n v="11692455000"/>
    <n v="9743124247267.2422"/>
  </r>
  <r>
    <x v="1"/>
    <s v="CHN"/>
    <x v="14"/>
    <n v="9976027000"/>
    <n v="1371860000"/>
    <x v="35"/>
    <x v="35"/>
    <n v="28.181187000000001"/>
    <n v="11689330000"/>
    <n v="10674533168257.365"/>
  </r>
  <r>
    <x v="1"/>
    <s v="CHN"/>
    <x v="15"/>
    <n v="9858040000"/>
    <n v="1379860000"/>
    <x v="36"/>
    <x v="36"/>
    <n v="27.859017999999999"/>
    <n v="11642968000"/>
    <n v="11280814787468.914"/>
  </r>
  <r>
    <x v="1"/>
    <s v="CHN"/>
    <x v="16"/>
    <n v="9748175000"/>
    <n v="1387790000"/>
    <x v="37"/>
    <x v="37"/>
    <n v="27.565317"/>
    <n v="11382781000"/>
    <n v="11456024084961.982"/>
  </r>
  <r>
    <x v="1"/>
    <s v="CHN"/>
    <x v="17"/>
    <n v="10000013000"/>
    <n v="1396215000"/>
    <x v="38"/>
    <x v="38"/>
    <n v="27.803197999999998"/>
    <n v="11622925000"/>
    <n v="12537559062282.916"/>
  </r>
  <r>
    <x v="1"/>
    <s v="CHN"/>
    <x v="18"/>
    <n v="10346790000"/>
    <n v="1402760000"/>
    <x v="39"/>
    <x v="39"/>
    <n v="28.131969999999999"/>
    <n v="11989895000"/>
    <n v="14147765772963.734"/>
  </r>
  <r>
    <x v="1"/>
    <s v="CHN"/>
    <x v="19"/>
    <n v="10713515000"/>
    <n v="1407745000"/>
    <x v="40"/>
    <x v="40"/>
    <n v="28.875336000000001"/>
    <n v="12322384000"/>
    <n v="14560167101283.496"/>
  </r>
  <r>
    <x v="1"/>
    <s v="CHN"/>
    <x v="20"/>
    <n v="10896520000"/>
    <n v="1411100000"/>
    <x v="41"/>
    <x v="41"/>
    <n v="31.046887999999999"/>
    <n v="12524050000"/>
    <n v="14996414166715.139"/>
  </r>
  <r>
    <x v="2"/>
    <s v="IND"/>
    <x v="0"/>
    <n v="987065100"/>
    <n v="1057922733"/>
    <x v="42"/>
    <x v="42"/>
    <n v="3.8668100000000001"/>
    <n v="2005885200"/>
    <n v="468395521654.45764"/>
  </r>
  <r>
    <x v="2"/>
    <s v="IND"/>
    <x v="1"/>
    <n v="1001198400"/>
    <n v="1077898575"/>
    <x v="43"/>
    <x v="43"/>
    <n v="3.892147"/>
    <n v="2000273400"/>
    <n v="485440139204.17035"/>
  </r>
  <r>
    <x v="2"/>
    <s v="IND"/>
    <x v="2"/>
    <n v="1032750340"/>
    <n v="1097600380"/>
    <x v="44"/>
    <x v="44"/>
    <n v="3.9279400999999998"/>
    <n v="1994044800"/>
    <n v="514939140318.75525"/>
  </r>
  <r>
    <x v="2"/>
    <s v="IND"/>
    <x v="3"/>
    <n v="1068397950"/>
    <n v="1116803006"/>
    <x v="45"/>
    <x v="45"/>
    <n v="3.8588963000000001"/>
    <n v="2059555700"/>
    <n v="607700687237.31763"/>
  </r>
  <r>
    <x v="2"/>
    <s v="IND"/>
    <x v="4"/>
    <n v="1134611000"/>
    <n v="1135991513"/>
    <x v="46"/>
    <x v="46"/>
    <n v="3.9599313999999999"/>
    <n v="2129202000"/>
    <n v="709152728830.77441"/>
  </r>
  <r>
    <x v="2"/>
    <s v="IND"/>
    <x v="5"/>
    <n v="1195393300"/>
    <n v="1154676322"/>
    <x v="47"/>
    <x v="47"/>
    <n v="4.0338234999999996"/>
    <n v="2205412900"/>
    <n v="820383763511.44556"/>
  </r>
  <r>
    <x v="2"/>
    <s v="IND"/>
    <x v="6"/>
    <n v="1293321500"/>
    <n v="1172878890"/>
    <x v="48"/>
    <x v="48"/>
    <n v="4.2198896000000001"/>
    <n v="2324594400"/>
    <n v="940259888787.72119"/>
  </r>
  <r>
    <x v="2"/>
    <s v="IND"/>
    <x v="7"/>
    <n v="1393485200"/>
    <n v="1190676021"/>
    <x v="49"/>
    <x v="49"/>
    <n v="4.4157970000000004"/>
    <n v="2485674000"/>
    <n v="1216736438834.9563"/>
  </r>
  <r>
    <x v="2"/>
    <s v="IND"/>
    <x v="8"/>
    <n v="1490366500"/>
    <n v="1207930964"/>
    <x v="50"/>
    <x v="50"/>
    <n v="4.6437244"/>
    <n v="2641331200"/>
    <n v="1198895139005.9194"/>
  </r>
  <r>
    <x v="2"/>
    <s v="IND"/>
    <x v="9"/>
    <n v="1613327600"/>
    <n v="1225524753"/>
    <x v="51"/>
    <x v="51"/>
    <n v="5.111345"/>
    <n v="2738049800"/>
    <n v="1341888016994.8958"/>
  </r>
  <r>
    <x v="2"/>
    <s v="IND"/>
    <x v="10"/>
    <n v="1678529500"/>
    <n v="1243481564"/>
    <x v="52"/>
    <x v="52"/>
    <n v="5.028607"/>
    <n v="2848131000"/>
    <n v="1675615519484.9614"/>
  </r>
  <r>
    <x v="2"/>
    <s v="IND"/>
    <x v="11"/>
    <n v="1765694800"/>
    <n v="1261224954"/>
    <x v="53"/>
    <x v="53"/>
    <n v="5.1144356999999996"/>
    <n v="2950343000"/>
    <n v="1823051829894.5515"/>
  </r>
  <r>
    <x v="2"/>
    <s v="IND"/>
    <x v="12"/>
    <n v="1926986400"/>
    <n v="1278674502"/>
    <x v="54"/>
    <x v="54"/>
    <n v="5.5019955999999999"/>
    <n v="3164009700"/>
    <n v="1827637590410.4158"/>
  </r>
  <r>
    <x v="2"/>
    <s v="IND"/>
    <x v="13"/>
    <n v="1995337200"/>
    <n v="1295829511"/>
    <x v="55"/>
    <x v="55"/>
    <n v="5.6515709999999997"/>
    <n v="3124772400"/>
    <n v="1856721507621.5728"/>
  </r>
  <r>
    <x v="2"/>
    <s v="IND"/>
    <x v="14"/>
    <n v="2148052000"/>
    <n v="1312277191"/>
    <x v="56"/>
    <x v="56"/>
    <n v="6.0601919999999998"/>
    <n v="3216867000"/>
    <n v="2039126479154.5127"/>
  </r>
  <r>
    <x v="2"/>
    <s v="IND"/>
    <x v="15"/>
    <n v="2231817500"/>
    <n v="1328024498"/>
    <x v="57"/>
    <x v="57"/>
    <n v="6.3104814999999999"/>
    <n v="3290423000"/>
    <n v="2103588360044.9419"/>
  </r>
  <r>
    <x v="2"/>
    <s v="IND"/>
    <x v="16"/>
    <n v="2352540200"/>
    <n v="1343944296"/>
    <x v="58"/>
    <x v="58"/>
    <n v="6.6484480000000001"/>
    <n v="3365011000"/>
    <n v="2294796885663.1577"/>
  </r>
  <r>
    <x v="2"/>
    <s v="IND"/>
    <x v="17"/>
    <n v="2425721900"/>
    <n v="1359657400"/>
    <x v="59"/>
    <x v="59"/>
    <n v="6.7424670000000004"/>
    <n v="3415988500"/>
    <n v="2651474262755.4473"/>
  </r>
  <r>
    <x v="2"/>
    <s v="IND"/>
    <x v="18"/>
    <n v="2595227100"/>
    <n v="1374659064"/>
    <x v="60"/>
    <x v="60"/>
    <n v="7.0597000000000003"/>
    <n v="3616201500"/>
    <n v="2702929641648.7422"/>
  </r>
  <r>
    <x v="2"/>
    <s v="IND"/>
    <x v="19"/>
    <n v="2611174700"/>
    <n v="1389030312"/>
    <x v="61"/>
    <x v="61"/>
    <n v="7.0420129999999999"/>
    <n v="3613001000"/>
    <n v="2835606256558.1899"/>
  </r>
  <r>
    <x v="2"/>
    <s v="IND"/>
    <x v="20"/>
    <n v="2422732000"/>
    <n v="1402617695"/>
    <x v="62"/>
    <x v="62"/>
    <n v="6.8937989999999996"/>
    <n v="3436429300"/>
    <n v="2674851578587.2725"/>
  </r>
  <r>
    <x v="3"/>
    <s v="PAK"/>
    <x v="0"/>
    <n v="103939720"/>
    <n v="154879127"/>
    <x v="63"/>
    <x v="63"/>
    <n v="0.4074373"/>
    <n v="268153650"/>
    <n v="99484802344.52771"/>
  </r>
  <r>
    <x v="3"/>
    <s v="PAK"/>
    <x v="1"/>
    <n v="105400680"/>
    <n v="159270907"/>
    <x v="64"/>
    <x v="64"/>
    <n v="0.41001897999999998"/>
    <n v="267979700"/>
    <n v="97145618479.903748"/>
  </r>
  <r>
    <x v="3"/>
    <s v="PAK"/>
    <x v="2"/>
    <n v="110566250"/>
    <n v="163222549"/>
    <x v="65"/>
    <x v="65"/>
    <n v="0.42965624000000002"/>
    <n v="277709150"/>
    <n v="97923302809.353622"/>
  </r>
  <r>
    <x v="3"/>
    <s v="PAK"/>
    <x v="3"/>
    <n v="113141820"/>
    <n v="167110248"/>
    <x v="66"/>
    <x v="66"/>
    <n v="0.42451697999999999"/>
    <n v="277715140"/>
    <n v="112371913740.82295"/>
  </r>
  <r>
    <x v="3"/>
    <s v="PAK"/>
    <x v="4"/>
    <n v="124636830"/>
    <n v="171286000"/>
    <x v="67"/>
    <x v="67"/>
    <n v="0.45331606000000002"/>
    <n v="290964600"/>
    <n v="132216048339.41293"/>
  </r>
  <r>
    <x v="3"/>
    <s v="PAK"/>
    <x v="5"/>
    <n v="129947430"/>
    <n v="175453212"/>
    <x v="68"/>
    <x v="68"/>
    <n v="0.45128256"/>
    <n v="304570900"/>
    <n v="145208562960.76666"/>
  </r>
  <r>
    <x v="3"/>
    <s v="PAK"/>
    <x v="6"/>
    <n v="137911580"/>
    <n v="179682690"/>
    <x v="69"/>
    <x v="69"/>
    <n v="0.47032394999999999"/>
    <n v="321015870"/>
    <n v="161871385506.36011"/>
  </r>
  <r>
    <x v="3"/>
    <s v="PAK"/>
    <x v="7"/>
    <n v="148349010"/>
    <n v="184493231"/>
    <x v="70"/>
    <x v="70"/>
    <n v="0.50001377000000002"/>
    <n v="328960860"/>
    <n v="184140869997.46017"/>
  </r>
  <r>
    <x v="3"/>
    <s v="PAK"/>
    <x v="8"/>
    <n v="147901400"/>
    <n v="189499113"/>
    <x v="71"/>
    <x v="71"/>
    <n v="0.48371937999999998"/>
    <n v="336250100"/>
    <n v="202203748583.85428"/>
  </r>
  <r>
    <x v="3"/>
    <s v="PAK"/>
    <x v="9"/>
    <n v="148354980"/>
    <n v="194376534"/>
    <x v="72"/>
    <x v="72"/>
    <n v="0.49306270000000002"/>
    <n v="344851420"/>
    <n v="187337783856.4657"/>
  </r>
  <r>
    <x v="3"/>
    <s v="PAK"/>
    <x v="10"/>
    <n v="147503980"/>
    <n v="199239047"/>
    <x v="73"/>
    <x v="73"/>
    <n v="0.46229229999999999"/>
    <n v="355834460"/>
    <n v="196709621849.58612"/>
  </r>
  <r>
    <x v="3"/>
    <s v="PAK"/>
    <x v="11"/>
    <n v="149488300"/>
    <n v="203746065"/>
    <x v="74"/>
    <x v="74"/>
    <n v="0.44863987"/>
    <n v="363645000"/>
    <n v="230586581059.66574"/>
  </r>
  <r>
    <x v="3"/>
    <s v="PAK"/>
    <x v="12"/>
    <n v="150555070"/>
    <n v="207667125"/>
    <x v="75"/>
    <x v="75"/>
    <n v="0.44219497000000002"/>
    <n v="367365600"/>
    <n v="250106966104.70419"/>
  </r>
  <r>
    <x v="3"/>
    <s v="PAK"/>
    <x v="13"/>
    <n v="148183040"/>
    <n v="211073978"/>
    <x v="76"/>
    <x v="76"/>
    <n v="0.43014234000000001"/>
    <n v="371963870"/>
    <n v="258657231672.41162"/>
  </r>
  <r>
    <x v="3"/>
    <s v="PAK"/>
    <x v="14"/>
    <n v="150809500"/>
    <n v="214264647"/>
    <x v="77"/>
    <x v="77"/>
    <n v="0.44204460000000001"/>
    <n v="378127600"/>
    <n v="271390474857.63144"/>
  </r>
  <r>
    <x v="3"/>
    <s v="PAK"/>
    <x v="15"/>
    <n v="144895550"/>
    <n v="217290883"/>
    <x v="78"/>
    <x v="78"/>
    <n v="0.42533594000000002"/>
    <n v="387849950"/>
    <n v="299963590534.77301"/>
  </r>
  <r>
    <x v="3"/>
    <s v="PAK"/>
    <x v="16"/>
    <n v="176740980"/>
    <n v="220138869"/>
    <x v="79"/>
    <x v="79"/>
    <n v="0.50267905000000002"/>
    <n v="425984400"/>
    <n v="313630000130.43451"/>
  </r>
  <r>
    <x v="3"/>
    <s v="PAK"/>
    <x v="17"/>
    <n v="211980740"/>
    <n v="223273967"/>
    <x v="80"/>
    <x v="80"/>
    <n v="0.60672789999999999"/>
    <n v="465361760"/>
    <n v="339205534861.10046"/>
  </r>
  <r>
    <x v="3"/>
    <s v="PAK"/>
    <x v="18"/>
    <n v="203499680"/>
    <n v="226928892"/>
    <x v="81"/>
    <x v="81"/>
    <n v="0.57267994"/>
    <n v="455021250"/>
    <n v="356128166704.92133"/>
  </r>
  <r>
    <x v="3"/>
    <s v="PAK"/>
    <x v="19"/>
    <n v="190825870"/>
    <n v="230800899"/>
    <x v="82"/>
    <x v="82"/>
    <n v="0.55956459999999997"/>
    <n v="454955170"/>
    <n v="320909472770.66937"/>
  </r>
  <r>
    <x v="3"/>
    <s v="PAK"/>
    <x v="20"/>
    <n v="215509550"/>
    <n v="235001746"/>
    <x v="83"/>
    <x v="83"/>
    <n v="0.65692269999999997"/>
    <n v="482811900"/>
    <n v="300425609817.9823"/>
  </r>
  <r>
    <x v="4"/>
    <s v="USA"/>
    <x v="0"/>
    <n v="6023158000"/>
    <n v="282162411"/>
    <x v="84"/>
    <x v="84"/>
    <n v="23.559408000000001"/>
    <n v="7217240000"/>
    <n v="10250947997000.002"/>
  </r>
  <r>
    <x v="4"/>
    <s v="USA"/>
    <x v="1"/>
    <n v="5903562000"/>
    <n v="284968955"/>
    <x v="85"/>
    <x v="85"/>
    <n v="22.981686"/>
    <n v="6976343600"/>
    <n v="10581929773999.988"/>
  </r>
  <r>
    <x v="4"/>
    <s v="USA"/>
    <x v="2"/>
    <n v="5947819500"/>
    <n v="287625193"/>
    <x v="86"/>
    <x v="86"/>
    <n v="22.629438"/>
    <n v="7059111400"/>
    <n v="10929112954999.992"/>
  </r>
  <r>
    <x v="4"/>
    <s v="USA"/>
    <x v="3"/>
    <n v="6006440000"/>
    <n v="290107933"/>
    <x v="87"/>
    <x v="87"/>
    <n v="21.7212"/>
    <n v="7245448000"/>
    <n v="11456442040999.996"/>
  </r>
  <r>
    <x v="4"/>
    <s v="USA"/>
    <x v="4"/>
    <n v="6111545000"/>
    <n v="292805298"/>
    <x v="88"/>
    <x v="88"/>
    <n v="21.348654"/>
    <n v="7314667500"/>
    <n v="12217193198000"/>
  </r>
  <r>
    <x v="4"/>
    <s v="USA"/>
    <x v="5"/>
    <n v="6126903300"/>
    <n v="295516599"/>
    <x v="89"/>
    <x v="89"/>
    <n v="20.706764"/>
    <n v="7428800500"/>
    <n v="13039199192999.996"/>
  </r>
  <r>
    <x v="4"/>
    <s v="USA"/>
    <x v="6"/>
    <n v="6045326300"/>
    <n v="298379912"/>
    <x v="90"/>
    <x v="90"/>
    <n v="19.761679999999998"/>
    <n v="7064877600"/>
    <n v="13815586947999.994"/>
  </r>
  <r>
    <x v="4"/>
    <s v="USA"/>
    <x v="7"/>
    <n v="6121542700"/>
    <n v="301231207"/>
    <x v="91"/>
    <x v="91"/>
    <n v="19.439326999999999"/>
    <n v="7181516000"/>
    <n v="14474226904999.998"/>
  </r>
  <r>
    <x v="4"/>
    <s v="USA"/>
    <x v="8"/>
    <n v="5919221000"/>
    <n v="304093966"/>
    <x v="92"/>
    <x v="92"/>
    <n v="18.441984000000001"/>
    <n v="7074333700"/>
    <n v="14769857911000.014"/>
  </r>
  <r>
    <x v="4"/>
    <s v="USA"/>
    <x v="9"/>
    <n v="5486104000"/>
    <n v="306771529"/>
    <x v="93"/>
    <x v="93"/>
    <n v="17.376003000000001"/>
    <n v="6577918000"/>
    <n v="14478064934000.016"/>
  </r>
  <r>
    <x v="4"/>
    <s v="USA"/>
    <x v="10"/>
    <n v="5669250000"/>
    <n v="309378227"/>
    <x v="94"/>
    <x v="94"/>
    <n v="17.027616999999999"/>
    <n v="6823523000"/>
    <n v="15048964443999.992"/>
  </r>
  <r>
    <x v="4"/>
    <s v="USA"/>
    <x v="11"/>
    <n v="5538973000"/>
    <n v="311839461"/>
    <x v="95"/>
    <x v="95"/>
    <n v="16.073584"/>
    <n v="6523640000"/>
    <n v="15599728122999.988"/>
  </r>
  <r>
    <x v="4"/>
    <s v="USA"/>
    <x v="12"/>
    <n v="5331467300"/>
    <n v="314339099"/>
    <x v="96"/>
    <x v="96"/>
    <n v="15.268807000000001"/>
    <n v="6388707300"/>
    <n v="16253972230000"/>
  </r>
  <r>
    <x v="4"/>
    <s v="USA"/>
    <x v="13"/>
    <n v="5473436000"/>
    <n v="316726282"/>
    <x v="97"/>
    <x v="97"/>
    <n v="15.523795"/>
    <n v="6488664600"/>
    <n v="16843190992999.996"/>
  </r>
  <r>
    <x v="4"/>
    <s v="USA"/>
    <x v="14"/>
    <n v="5531385300"/>
    <n v="319257560"/>
    <x v="98"/>
    <x v="98"/>
    <n v="15.595674499999999"/>
    <n v="6610767000"/>
    <n v="17550680173999.986"/>
  </r>
  <r>
    <x v="4"/>
    <s v="USA"/>
    <x v="15"/>
    <n v="5368496600"/>
    <n v="321815121"/>
    <x v="99"/>
    <x v="99"/>
    <n v="15.185676000000001"/>
    <n v="6408285700"/>
    <n v="18206020740999.988"/>
  </r>
  <r>
    <x v="4"/>
    <s v="USA"/>
    <x v="16"/>
    <n v="5245361700"/>
    <n v="324353340"/>
    <x v="100"/>
    <x v="100"/>
    <n v="14.831811999999999"/>
    <n v="6308616700"/>
    <n v="18695110842000.008"/>
  </r>
  <r>
    <x v="4"/>
    <s v="USA"/>
    <x v="17"/>
    <n v="5195417600"/>
    <n v="326608609"/>
    <x v="101"/>
    <x v="101"/>
    <n v="14.482291999999999"/>
    <n v="6319225000"/>
    <n v="19477336549000.004"/>
  </r>
  <r>
    <x v="4"/>
    <s v="USA"/>
    <x v="18"/>
    <n v="5361236500"/>
    <n v="328529577"/>
    <x v="102"/>
    <x v="102"/>
    <n v="14.641260000000001"/>
    <n v="6466737000"/>
    <n v="20533057312000.016"/>
  </r>
  <r>
    <x v="4"/>
    <s v="USA"/>
    <x v="19"/>
    <n v="5235912000"/>
    <n v="330226227"/>
    <x v="103"/>
    <x v="103"/>
    <n v="14.182045"/>
    <n v="6360786400"/>
    <n v="21380976118999.984"/>
  </r>
  <r>
    <x v="4"/>
    <s v="USA"/>
    <x v="20"/>
    <n v="4689954000"/>
    <n v="331577720"/>
    <x v="104"/>
    <x v="104"/>
    <n v="13.421844999999999"/>
    <n v="5758456000"/>
    <n v="21060473612999.992"/>
  </r>
  <r>
    <x v="5"/>
    <s v="OWID_WRL"/>
    <x v="0"/>
    <n v="25511483000"/>
    <n v="6161884811"/>
    <x v="105"/>
    <x v="105"/>
    <n v="100"/>
    <n v="40795378000"/>
    <n v="33898156427205.867"/>
  </r>
  <r>
    <x v="5"/>
    <s v="OWID_WRL"/>
    <x v="1"/>
    <n v="25692994000"/>
    <n v="6245112906"/>
    <x v="106"/>
    <x v="106"/>
    <n v="100"/>
    <n v="40260362000"/>
    <n v="33690417699612.734"/>
  </r>
  <r>
    <x v="5"/>
    <s v="OWID_WRL"/>
    <x v="2"/>
    <n v="26265332000"/>
    <n v="6327557399"/>
    <x v="107"/>
    <x v="107"/>
    <n v="99.999989999999997"/>
    <n v="41423413000"/>
    <n v="34991525564916.934"/>
  </r>
  <r>
    <x v="5"/>
    <s v="OWID_WRL"/>
    <x v="3"/>
    <n v="27652692000"/>
    <n v="6409750441"/>
    <x v="108"/>
    <x v="108"/>
    <n v="100"/>
    <n v="44206870000"/>
    <n v="39243276986261.945"/>
  </r>
  <r>
    <x v="5"/>
    <s v="OWID_WRL"/>
    <x v="4"/>
    <n v="28610023000"/>
    <n v="6492769815"/>
    <x v="109"/>
    <x v="109"/>
    <n v="100"/>
    <n v="44421226000"/>
    <n v="44225384449869.844"/>
  </r>
  <r>
    <x v="5"/>
    <s v="OWID_WRL"/>
    <x v="5"/>
    <n v="29598951000"/>
    <n v="6575841506"/>
    <x v="110"/>
    <x v="110"/>
    <n v="100"/>
    <n v="45006918000"/>
    <n v="47900489808168.859"/>
  </r>
  <r>
    <x v="5"/>
    <s v="OWID_WRL"/>
    <x v="6"/>
    <n v="30594152000"/>
    <n v="6659977025"/>
    <x v="111"/>
    <x v="111"/>
    <n v="100"/>
    <n v="46217527000"/>
    <n v="51923507284495.977"/>
  </r>
  <r>
    <x v="5"/>
    <s v="OWID_WRL"/>
    <x v="7"/>
    <n v="31499256000"/>
    <n v="6744489399"/>
    <x v="112"/>
    <x v="112"/>
    <n v="99.999989999999997"/>
    <n v="46734880000"/>
    <n v="58525785801185.781"/>
  </r>
  <r>
    <x v="5"/>
    <s v="OWID_WRL"/>
    <x v="8"/>
    <n v="32049660000"/>
    <n v="6830513541"/>
    <x v="113"/>
    <x v="113"/>
    <n v="100"/>
    <n v="47666078000"/>
    <n v="64311729364641.352"/>
  </r>
  <r>
    <x v="5"/>
    <s v="OWID_WRL"/>
    <x v="9"/>
    <n v="31513014000"/>
    <n v="6916589116"/>
    <x v="114"/>
    <x v="114"/>
    <n v="100"/>
    <n v="47682020000"/>
    <n v="60982255960004.406"/>
  </r>
  <r>
    <x v="5"/>
    <s v="OWID_WRL"/>
    <x v="10"/>
    <n v="33317670000"/>
    <n v="7001266876"/>
    <x v="115"/>
    <x v="115"/>
    <n v="100"/>
    <n v="49602090000"/>
    <n v="66811191491614.961"/>
  </r>
  <r>
    <x v="5"/>
    <s v="OWID_WRL"/>
    <x v="11"/>
    <n v="34479990000"/>
    <n v="7087120034"/>
    <x v="116"/>
    <x v="116"/>
    <n v="100"/>
    <n v="50934178000"/>
    <n v="74309709353788.953"/>
  </r>
  <r>
    <x v="5"/>
    <s v="OWID_WRL"/>
    <x v="12"/>
    <n v="34954736000"/>
    <n v="7176929184"/>
    <x v="117"/>
    <x v="117"/>
    <n v="100"/>
    <n v="51787150000"/>
    <n v="75960594595757"/>
  </r>
  <r>
    <x v="5"/>
    <s v="OWID_WRL"/>
    <x v="13"/>
    <n v="35275820000"/>
    <n v="7265892332"/>
    <x v="118"/>
    <x v="118"/>
    <n v="100"/>
    <n v="51689280000"/>
    <n v="78034892841179.172"/>
  </r>
  <r>
    <x v="5"/>
    <s v="OWID_WRL"/>
    <x v="14"/>
    <n v="35465695000"/>
    <n v="7354068030"/>
    <x v="119"/>
    <x v="119"/>
    <n v="100"/>
    <n v="52086366000"/>
    <n v="80054888775430.797"/>
  </r>
  <r>
    <x v="5"/>
    <s v="OWID_WRL"/>
    <x v="15"/>
    <n v="35403526000"/>
    <n v="7441677465"/>
    <x v="120"/>
    <x v="120"/>
    <n v="100"/>
    <n v="52119314000"/>
    <n v="75621913961646.5"/>
  </r>
  <r>
    <x v="5"/>
    <s v="OWID_WRL"/>
    <x v="16"/>
    <n v="35392830000"/>
    <n v="7528879985"/>
    <x v="121"/>
    <x v="121"/>
    <n v="100"/>
    <n v="51013095000"/>
    <n v="76831684012526.234"/>
  </r>
  <r>
    <x v="5"/>
    <s v="OWID_WRL"/>
    <x v="17"/>
    <n v="35974610000"/>
    <n v="7614523410"/>
    <x v="122"/>
    <x v="122"/>
    <n v="100"/>
    <n v="51702665000"/>
    <n v="81839102917044.734"/>
  </r>
  <r>
    <x v="5"/>
    <s v="OWID_WRL"/>
    <x v="18"/>
    <n v="36734005000"/>
    <n v="7697233736"/>
    <x v="123"/>
    <x v="123"/>
    <n v="100"/>
    <n v="52139290000"/>
    <n v="87050964956078.063"/>
  </r>
  <r>
    <x v="5"/>
    <s v="OWID_WRL"/>
    <x v="19"/>
    <n v="37086570000"/>
    <n v="7778008621"/>
    <x v="124"/>
    <x v="124"/>
    <n v="100"/>
    <n v="52571340000"/>
    <n v="88483262418196.734"/>
  </r>
  <r>
    <x v="5"/>
    <s v="OWID_WRL"/>
    <x v="20"/>
    <n v="35158230000"/>
    <n v="7854748424"/>
    <x v="125"/>
    <x v="125"/>
    <n v="100"/>
    <n v="50601267000"/>
    <n v="85912761035231.43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DC187C0-4D9B-419C-A15B-29327C1AA44A}"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25" firstHeaderRow="1" firstDataRow="1" firstDataCol="1"/>
  <pivotFields count="9">
    <pivotField axis="axisRow" showAll="0">
      <items count="22">
        <item x="0"/>
        <item x="1"/>
        <item x="2"/>
        <item x="3"/>
        <item x="4"/>
        <item x="5"/>
        <item x="6"/>
        <item x="7"/>
        <item x="8"/>
        <item x="9"/>
        <item x="10"/>
        <item x="11"/>
        <item x="12"/>
        <item x="13"/>
        <item x="14"/>
        <item x="15"/>
        <item x="16"/>
        <item x="17"/>
        <item x="18"/>
        <item x="19"/>
        <item x="20"/>
        <item t="default"/>
      </items>
    </pivotField>
    <pivotField dataField="1" numFmtId="2" showAll="0"/>
    <pivotField numFmtId="164" showAll="0"/>
    <pivotField numFmtId="3" showAll="0"/>
    <pivotField numFmtId="164" showAll="0"/>
    <pivotField numFmtId="2" showAll="0"/>
    <pivotField numFmtId="164" showAll="0"/>
    <pivotField numFmtId="164" showAll="0"/>
    <pivotField numFmtId="164" showAll="0"/>
  </pivotFields>
  <rowFields count="1">
    <field x="0"/>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Sum of Total CO₂ (Mt)_x000a_Pakistan" fld="1"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68F0759-EBCD-483E-A1DE-B5467704475E}" name="PivotTable1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25" firstHeaderRow="1" firstDataRow="1" firstDataCol="1"/>
  <pivotFields count="9">
    <pivotField axis="axisRow" showAll="0">
      <items count="22">
        <item x="0"/>
        <item x="1"/>
        <item x="2"/>
        <item x="3"/>
        <item x="4"/>
        <item x="5"/>
        <item x="6"/>
        <item x="7"/>
        <item x="8"/>
        <item x="9"/>
        <item x="10"/>
        <item x="11"/>
        <item x="12"/>
        <item x="13"/>
        <item x="14"/>
        <item x="15"/>
        <item x="16"/>
        <item x="17"/>
        <item x="18"/>
        <item x="19"/>
        <item x="20"/>
        <item t="default"/>
      </items>
    </pivotField>
    <pivotField numFmtId="2" showAll="0"/>
    <pivotField dataField="1" numFmtId="164" showAll="0"/>
    <pivotField numFmtId="3" showAll="0"/>
    <pivotField numFmtId="164" showAll="0"/>
    <pivotField numFmtId="2" showAll="0"/>
    <pivotField numFmtId="164" showAll="0"/>
    <pivotField numFmtId="164" showAll="0"/>
    <pivotField numFmtId="164" showAll="0"/>
  </pivotFields>
  <rowFields count="1">
    <field x="0"/>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Sum of Per Capita (t)_x000a_Pakistan" fld="2"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D1E07A4-7C29-479D-BEE9-44FF9F19392E}" name="PivotTable13"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10" firstHeaderRow="1" firstDataRow="1" firstDataCol="1"/>
  <pivotFields count="10">
    <pivotField axis="axisRow" showAll="0">
      <items count="7">
        <item x="0"/>
        <item x="1"/>
        <item x="2"/>
        <item x="3"/>
        <item x="4"/>
        <item x="5"/>
        <item t="default"/>
      </items>
    </pivotField>
    <pivotField showAll="0"/>
    <pivotField multipleItemSelectionAllowed="1" showAll="0">
      <items count="22">
        <item x="0"/>
        <item x="1"/>
        <item x="2"/>
        <item x="3"/>
        <item x="4"/>
        <item x="5"/>
        <item x="6"/>
        <item x="7"/>
        <item x="8"/>
        <item x="9"/>
        <item x="10"/>
        <item x="11"/>
        <item x="12"/>
        <item x="13"/>
        <item x="14"/>
        <item x="15"/>
        <item x="16"/>
        <item x="17"/>
        <item x="18"/>
        <item x="19"/>
        <item x="20"/>
        <item t="default"/>
      </items>
    </pivotField>
    <pivotField showAll="0"/>
    <pivotField showAll="0"/>
    <pivotField showAll="0"/>
    <pivotField dataField="1" showAll="0"/>
    <pivotField showAll="0"/>
    <pivotField showAll="0"/>
    <pivotField showAll="0"/>
  </pivotFields>
  <rowFields count="1">
    <field x="0"/>
  </rowFields>
  <rowItems count="7">
    <i>
      <x/>
    </i>
    <i>
      <x v="1"/>
    </i>
    <i>
      <x v="2"/>
    </i>
    <i>
      <x v="3"/>
    </i>
    <i>
      <x v="4"/>
    </i>
    <i>
      <x v="5"/>
    </i>
    <i t="grand">
      <x/>
    </i>
  </rowItems>
  <colItems count="1">
    <i/>
  </colItems>
  <dataFields count="1">
    <dataField name="Sum of Per Capita CO2 emissions " fld="6"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E7EE2B5-9664-49C2-A53A-0203043D8F3A}" name="PivotTable1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C25" firstHeaderRow="0" firstDataRow="1" firstDataCol="1"/>
  <pivotFields count="9">
    <pivotField axis="axisRow" showAll="0">
      <items count="22">
        <item x="0"/>
        <item x="1"/>
        <item x="2"/>
        <item x="3"/>
        <item x="4"/>
        <item x="5"/>
        <item x="6"/>
        <item x="7"/>
        <item x="8"/>
        <item x="9"/>
        <item x="10"/>
        <item x="11"/>
        <item x="12"/>
        <item x="13"/>
        <item x="14"/>
        <item x="15"/>
        <item x="16"/>
        <item x="17"/>
        <item x="18"/>
        <item x="19"/>
        <item x="20"/>
        <item t="default"/>
      </items>
    </pivotField>
    <pivotField numFmtId="2" showAll="0"/>
    <pivotField numFmtId="164" showAll="0"/>
    <pivotField numFmtId="3" showAll="0"/>
    <pivotField dataField="1" numFmtId="164" showAll="0"/>
    <pivotField numFmtId="2" showAll="0"/>
    <pivotField numFmtId="164" showAll="0"/>
    <pivotField dataField="1" numFmtId="164" showAll="0"/>
    <pivotField numFmtId="164" showAll="0"/>
  </pivotFields>
  <rowFields count="1">
    <field x="0"/>
  </rowFields>
  <rowItems count="22">
    <i>
      <x/>
    </i>
    <i>
      <x v="1"/>
    </i>
    <i>
      <x v="2"/>
    </i>
    <i>
      <x v="3"/>
    </i>
    <i>
      <x v="4"/>
    </i>
    <i>
      <x v="5"/>
    </i>
    <i>
      <x v="6"/>
    </i>
    <i>
      <x v="7"/>
    </i>
    <i>
      <x v="8"/>
    </i>
    <i>
      <x v="9"/>
    </i>
    <i>
      <x v="10"/>
    </i>
    <i>
      <x v="11"/>
    </i>
    <i>
      <x v="12"/>
    </i>
    <i>
      <x v="13"/>
    </i>
    <i>
      <x v="14"/>
    </i>
    <i>
      <x v="15"/>
    </i>
    <i>
      <x v="16"/>
    </i>
    <i>
      <x v="17"/>
    </i>
    <i>
      <x v="18"/>
    </i>
    <i>
      <x v="19"/>
    </i>
    <i>
      <x v="20"/>
    </i>
    <i t="grand">
      <x/>
    </i>
  </rowItems>
  <colFields count="1">
    <field x="-2"/>
  </colFields>
  <colItems count="2">
    <i>
      <x/>
    </i>
    <i i="1">
      <x v="1"/>
    </i>
  </colItems>
  <dataFields count="2">
    <dataField name="Sum of Share (%)_x000a_India" fld="7" baseField="0" baseItem="0"/>
    <dataField name="Sum of Global Share (%)_x000a_Pakistan" fld="4" baseField="0"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30B49785-9C0F-41B4-80A8-2D22D6F87C1D}" sourceName="Year">
  <pivotTables>
    <pivotTable tabId="11" name="PivotTable13"/>
  </pivotTables>
  <data>
    <tabular pivotCacheId="52660796">
      <items count="21">
        <i x="0" s="1"/>
        <i x="1" s="1"/>
        <i x="2" s="1"/>
        <i x="3" s="1"/>
        <i x="4" s="1"/>
        <i x="5" s="1"/>
        <i x="6" s="1"/>
        <i x="7" s="1"/>
        <i x="8" s="1"/>
        <i x="9" s="1"/>
        <i x="10" s="1"/>
        <i x="11" s="1"/>
        <i x="12" s="1"/>
        <i x="13" s="1"/>
        <i x="14" s="1"/>
        <i x="15" s="1"/>
        <i x="16" s="1"/>
        <i x="17" s="1"/>
        <i x="18" s="1"/>
        <i x="19" s="1"/>
        <i x="2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05B1C6DC-9DB6-40D5-8BCD-E0183EC2CA3E}" cache="Slicer_Year1" caption="Year" style="SlicerStyleLight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1F3F779-9B04-43E9-BC10-10D548C31E1A}" name="Table1" displayName="Table1" ref="A1:J127" totalsRowShown="0" headerRowDxfId="1">
  <autoFilter ref="A1:J127" xr:uid="{41F3F779-9B04-43E9-BC10-10D548C31E1A}"/>
  <sortState xmlns:xlrd2="http://schemas.microsoft.com/office/spreadsheetml/2017/richdata2" ref="A2:H127">
    <sortCondition ref="A1:A127"/>
  </sortState>
  <tableColumns count="10">
    <tableColumn id="1" xr3:uid="{92D4E8CC-D53A-43B8-8636-E664F920082B}" name="Country"/>
    <tableColumn id="2" xr3:uid="{A225A504-15C5-4F25-9250-1CCAA6AC4FBD}" name="Code"/>
    <tableColumn id="3" xr3:uid="{A4CFBCB3-CC02-4ACB-A3AD-2A077133F031}" name="Year"/>
    <tableColumn id="4" xr3:uid="{6278003D-14A8-4CD2-8CC1-2FEE113472D5}" name="Annual CO2 emissions"/>
    <tableColumn id="5" xr3:uid="{61104731-925C-4D85-9225-33E7E670D601}" name="Population, total"/>
    <tableColumn id="6" xr3:uid="{F3FE7809-0B5D-4C3E-829C-554517393E6D}" name="GDP per capita (current US$)"/>
    <tableColumn id="7" xr3:uid="{F6006E8C-94D6-4BA3-8B08-4D93A1183CC1}" name="Per Capita CO2 emissions ">
      <calculatedColumnFormula>D2/E2</calculatedColumnFormula>
    </tableColumn>
    <tableColumn id="8" xr3:uid="{17144289-9594-4E06-949F-90FE638C65E3}" name="Share of global annual CO2 emissions (%)"/>
    <tableColumn id="9" xr3:uid="{5674FA28-8E4E-4713-B17B-CD8B27F1F8F2}" name="Annual greenhouse gas emissions including land use"/>
    <tableColumn id="10" xr3:uid="{C53743EF-4D9D-42A2-86EF-F88214421ED8}" name="GDP" dataDxfId="0">
      <calculatedColumnFormula>Table1[[#This Row],[Population, total]]*Table1[[#This Row],[GDP per capita (current US$)]]</calculatedColumnFormula>
    </tableColumn>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F6342-A2B6-41A0-9CC7-4742CCF3338C}">
  <dimension ref="A3:B25"/>
  <sheetViews>
    <sheetView workbookViewId="0">
      <selection activeCell="B5" sqref="B5"/>
    </sheetView>
  </sheetViews>
  <sheetFormatPr defaultRowHeight="14.4" x14ac:dyDescent="0.3"/>
  <cols>
    <col min="1" max="1" width="12.5546875" bestFit="1" customWidth="1"/>
    <col min="2" max="2" width="26.77734375" bestFit="1" customWidth="1"/>
  </cols>
  <sheetData>
    <row r="3" spans="1:2" x14ac:dyDescent="0.3">
      <c r="A3" s="11" t="s">
        <v>11</v>
      </c>
      <c r="B3" t="s">
        <v>13</v>
      </c>
    </row>
    <row r="4" spans="1:2" x14ac:dyDescent="0.3">
      <c r="A4" s="12">
        <v>2000</v>
      </c>
      <c r="B4">
        <v>103.94</v>
      </c>
    </row>
    <row r="5" spans="1:2" x14ac:dyDescent="0.3">
      <c r="A5" s="12">
        <v>2001</v>
      </c>
      <c r="B5">
        <v>105.4</v>
      </c>
    </row>
    <row r="6" spans="1:2" x14ac:dyDescent="0.3">
      <c r="A6" s="12">
        <v>2002</v>
      </c>
      <c r="B6">
        <v>110.57</v>
      </c>
    </row>
    <row r="7" spans="1:2" x14ac:dyDescent="0.3">
      <c r="A7" s="12">
        <v>2003</v>
      </c>
      <c r="B7">
        <v>113.14</v>
      </c>
    </row>
    <row r="8" spans="1:2" x14ac:dyDescent="0.3">
      <c r="A8" s="12">
        <v>2004</v>
      </c>
      <c r="B8">
        <v>124.64</v>
      </c>
    </row>
    <row r="9" spans="1:2" x14ac:dyDescent="0.3">
      <c r="A9" s="12">
        <v>2005</v>
      </c>
      <c r="B9">
        <v>129.94999999999999</v>
      </c>
    </row>
    <row r="10" spans="1:2" x14ac:dyDescent="0.3">
      <c r="A10" s="12">
        <v>2006</v>
      </c>
      <c r="B10">
        <v>137.91</v>
      </c>
    </row>
    <row r="11" spans="1:2" x14ac:dyDescent="0.3">
      <c r="A11" s="12">
        <v>2007</v>
      </c>
      <c r="B11">
        <v>148.35</v>
      </c>
    </row>
    <row r="12" spans="1:2" x14ac:dyDescent="0.3">
      <c r="A12" s="12">
        <v>2008</v>
      </c>
      <c r="B12">
        <v>147.9</v>
      </c>
    </row>
    <row r="13" spans="1:2" x14ac:dyDescent="0.3">
      <c r="A13" s="12">
        <v>2009</v>
      </c>
      <c r="B13">
        <v>148.35</v>
      </c>
    </row>
    <row r="14" spans="1:2" x14ac:dyDescent="0.3">
      <c r="A14" s="12">
        <v>2010</v>
      </c>
      <c r="B14">
        <v>147.5</v>
      </c>
    </row>
    <row r="15" spans="1:2" x14ac:dyDescent="0.3">
      <c r="A15" s="12">
        <v>2011</v>
      </c>
      <c r="B15">
        <v>149.49</v>
      </c>
    </row>
    <row r="16" spans="1:2" x14ac:dyDescent="0.3">
      <c r="A16" s="12">
        <v>2012</v>
      </c>
      <c r="B16">
        <v>150.56</v>
      </c>
    </row>
    <row r="17" spans="1:2" x14ac:dyDescent="0.3">
      <c r="A17" s="12">
        <v>2013</v>
      </c>
      <c r="B17">
        <v>148.18</v>
      </c>
    </row>
    <row r="18" spans="1:2" x14ac:dyDescent="0.3">
      <c r="A18" s="12">
        <v>2014</v>
      </c>
      <c r="B18">
        <v>150.81</v>
      </c>
    </row>
    <row r="19" spans="1:2" x14ac:dyDescent="0.3">
      <c r="A19" s="12">
        <v>2015</v>
      </c>
      <c r="B19">
        <v>144.9</v>
      </c>
    </row>
    <row r="20" spans="1:2" x14ac:dyDescent="0.3">
      <c r="A20" s="12">
        <v>2016</v>
      </c>
      <c r="B20">
        <v>176.74</v>
      </c>
    </row>
    <row r="21" spans="1:2" x14ac:dyDescent="0.3">
      <c r="A21" s="12">
        <v>2017</v>
      </c>
      <c r="B21">
        <v>211.98</v>
      </c>
    </row>
    <row r="22" spans="1:2" x14ac:dyDescent="0.3">
      <c r="A22" s="12">
        <v>2018</v>
      </c>
      <c r="B22">
        <v>203.5</v>
      </c>
    </row>
    <row r="23" spans="1:2" x14ac:dyDescent="0.3">
      <c r="A23" s="12">
        <v>2019</v>
      </c>
      <c r="B23">
        <v>190.83</v>
      </c>
    </row>
    <row r="24" spans="1:2" x14ac:dyDescent="0.3">
      <c r="A24" s="12">
        <v>2020</v>
      </c>
      <c r="B24">
        <v>215.51</v>
      </c>
    </row>
    <row r="25" spans="1:2" x14ac:dyDescent="0.3">
      <c r="A25" s="12" t="s">
        <v>12</v>
      </c>
      <c r="B25">
        <v>3160.1499999999996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988BF-8B57-4949-A0ED-2BBEF91C20C1}">
  <dimension ref="A3:B25"/>
  <sheetViews>
    <sheetView workbookViewId="0">
      <selection activeCell="A3" sqref="A3"/>
    </sheetView>
  </sheetViews>
  <sheetFormatPr defaultRowHeight="14.4" x14ac:dyDescent="0.3"/>
  <cols>
    <col min="1" max="1" width="12.5546875" bestFit="1" customWidth="1"/>
    <col min="2" max="2" width="27" bestFit="1" customWidth="1"/>
  </cols>
  <sheetData>
    <row r="3" spans="1:2" x14ac:dyDescent="0.3">
      <c r="A3" s="11" t="s">
        <v>11</v>
      </c>
      <c r="B3" t="s">
        <v>14</v>
      </c>
    </row>
    <row r="4" spans="1:2" x14ac:dyDescent="0.3">
      <c r="A4" s="12">
        <v>2000</v>
      </c>
      <c r="B4">
        <v>0.67100000000000004</v>
      </c>
    </row>
    <row r="5" spans="1:2" x14ac:dyDescent="0.3">
      <c r="A5" s="12">
        <v>2001</v>
      </c>
      <c r="B5">
        <v>0.66200000000000003</v>
      </c>
    </row>
    <row r="6" spans="1:2" x14ac:dyDescent="0.3">
      <c r="A6" s="12">
        <v>2002</v>
      </c>
      <c r="B6">
        <v>0.67700000000000005</v>
      </c>
    </row>
    <row r="7" spans="1:2" x14ac:dyDescent="0.3">
      <c r="A7" s="12">
        <v>2003</v>
      </c>
      <c r="B7">
        <v>0.67700000000000005</v>
      </c>
    </row>
    <row r="8" spans="1:2" x14ac:dyDescent="0.3">
      <c r="A8" s="12">
        <v>2004</v>
      </c>
      <c r="B8">
        <v>0.72799999999999998</v>
      </c>
    </row>
    <row r="9" spans="1:2" x14ac:dyDescent="0.3">
      <c r="A9" s="12">
        <v>2005</v>
      </c>
      <c r="B9">
        <v>0.74099999999999999</v>
      </c>
    </row>
    <row r="10" spans="1:2" x14ac:dyDescent="0.3">
      <c r="A10" s="12">
        <v>2006</v>
      </c>
      <c r="B10">
        <v>0.76800000000000002</v>
      </c>
    </row>
    <row r="11" spans="1:2" x14ac:dyDescent="0.3">
      <c r="A11" s="12">
        <v>2007</v>
      </c>
      <c r="B11">
        <v>0.80400000000000005</v>
      </c>
    </row>
    <row r="12" spans="1:2" x14ac:dyDescent="0.3">
      <c r="A12" s="12">
        <v>2008</v>
      </c>
      <c r="B12">
        <v>0.78</v>
      </c>
    </row>
    <row r="13" spans="1:2" x14ac:dyDescent="0.3">
      <c r="A13" s="12">
        <v>2009</v>
      </c>
      <c r="B13">
        <v>0.76300000000000001</v>
      </c>
    </row>
    <row r="14" spans="1:2" x14ac:dyDescent="0.3">
      <c r="A14" s="12">
        <v>2010</v>
      </c>
      <c r="B14">
        <v>0.74</v>
      </c>
    </row>
    <row r="15" spans="1:2" x14ac:dyDescent="0.3">
      <c r="A15" s="12">
        <v>2011</v>
      </c>
      <c r="B15">
        <v>0.73399999999999999</v>
      </c>
    </row>
    <row r="16" spans="1:2" x14ac:dyDescent="0.3">
      <c r="A16" s="12">
        <v>2012</v>
      </c>
      <c r="B16">
        <v>0.72499999999999998</v>
      </c>
    </row>
    <row r="17" spans="1:2" x14ac:dyDescent="0.3">
      <c r="A17" s="12">
        <v>2013</v>
      </c>
      <c r="B17">
        <v>0.70199999999999996</v>
      </c>
    </row>
    <row r="18" spans="1:2" x14ac:dyDescent="0.3">
      <c r="A18" s="12">
        <v>2014</v>
      </c>
      <c r="B18">
        <v>0.70399999999999996</v>
      </c>
    </row>
    <row r="19" spans="1:2" x14ac:dyDescent="0.3">
      <c r="A19" s="12">
        <v>2015</v>
      </c>
      <c r="B19">
        <v>0.66700000000000004</v>
      </c>
    </row>
    <row r="20" spans="1:2" x14ac:dyDescent="0.3">
      <c r="A20" s="12">
        <v>2016</v>
      </c>
      <c r="B20">
        <v>0.80300000000000005</v>
      </c>
    </row>
    <row r="21" spans="1:2" x14ac:dyDescent="0.3">
      <c r="A21" s="12">
        <v>2017</v>
      </c>
      <c r="B21">
        <v>0.94899999999999995</v>
      </c>
    </row>
    <row r="22" spans="1:2" x14ac:dyDescent="0.3">
      <c r="A22" s="12">
        <v>2018</v>
      </c>
      <c r="B22">
        <v>0.89700000000000002</v>
      </c>
    </row>
    <row r="23" spans="1:2" x14ac:dyDescent="0.3">
      <c r="A23" s="12">
        <v>2019</v>
      </c>
      <c r="B23">
        <v>0.82699999999999996</v>
      </c>
    </row>
    <row r="24" spans="1:2" x14ac:dyDescent="0.3">
      <c r="A24" s="12">
        <v>2020</v>
      </c>
      <c r="B24">
        <v>0.91700000000000004</v>
      </c>
    </row>
    <row r="25" spans="1:2" x14ac:dyDescent="0.3">
      <c r="A25" s="12" t="s">
        <v>12</v>
      </c>
      <c r="B25">
        <v>15.936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7F1EEE-70B7-4B75-BD80-2BA78449072E}">
  <dimension ref="A3:B10"/>
  <sheetViews>
    <sheetView workbookViewId="0">
      <selection activeCell="B8" sqref="B8"/>
    </sheetView>
  </sheetViews>
  <sheetFormatPr defaultRowHeight="14.4" x14ac:dyDescent="0.3"/>
  <cols>
    <col min="1" max="1" width="12.5546875" bestFit="1" customWidth="1"/>
    <col min="2" max="2" width="29.33203125" bestFit="1" customWidth="1"/>
    <col min="3" max="3" width="11.109375" bestFit="1" customWidth="1"/>
    <col min="4" max="23" width="12" bestFit="1" customWidth="1"/>
  </cols>
  <sheetData>
    <row r="3" spans="1:2" x14ac:dyDescent="0.3">
      <c r="A3" s="11" t="s">
        <v>11</v>
      </c>
      <c r="B3" t="s">
        <v>36</v>
      </c>
    </row>
    <row r="4" spans="1:2" x14ac:dyDescent="0.3">
      <c r="A4" s="12" t="s">
        <v>15</v>
      </c>
      <c r="B4">
        <v>7.7557030094494408</v>
      </c>
    </row>
    <row r="5" spans="1:2" x14ac:dyDescent="0.3">
      <c r="A5" s="12" t="s">
        <v>17</v>
      </c>
      <c r="B5">
        <v>122.44735739518704</v>
      </c>
    </row>
    <row r="6" spans="1:2" x14ac:dyDescent="0.3">
      <c r="A6" s="12" t="s">
        <v>19</v>
      </c>
      <c r="B6">
        <v>28.760482935629884</v>
      </c>
    </row>
    <row r="7" spans="1:2" x14ac:dyDescent="0.3">
      <c r="A7" s="12" t="s">
        <v>21</v>
      </c>
      <c r="B7">
        <v>15.935573525247683</v>
      </c>
    </row>
    <row r="8" spans="1:2" x14ac:dyDescent="0.3">
      <c r="A8" s="12" t="s">
        <v>23</v>
      </c>
      <c r="B8">
        <v>385.71656696641645</v>
      </c>
    </row>
    <row r="9" spans="1:2" x14ac:dyDescent="0.3">
      <c r="A9" s="12" t="s">
        <v>25</v>
      </c>
      <c r="B9">
        <v>96.510805477056181</v>
      </c>
    </row>
    <row r="10" spans="1:2" x14ac:dyDescent="0.3">
      <c r="A10" s="12" t="s">
        <v>12</v>
      </c>
      <c r="B10">
        <v>657.12648930898672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710BF9-1338-483E-B4DA-7ED14ADD154B}">
  <dimension ref="A3:C25"/>
  <sheetViews>
    <sheetView workbookViewId="0">
      <selection activeCell="B15" sqref="B15"/>
    </sheetView>
  </sheetViews>
  <sheetFormatPr defaultRowHeight="14.4" x14ac:dyDescent="0.3"/>
  <cols>
    <col min="1" max="1" width="12.5546875" bestFit="1" customWidth="1"/>
    <col min="2" max="2" width="20.88671875" bestFit="1" customWidth="1"/>
    <col min="3" max="3" width="29.88671875" bestFit="1" customWidth="1"/>
  </cols>
  <sheetData>
    <row r="3" spans="1:3" x14ac:dyDescent="0.3">
      <c r="A3" s="11" t="s">
        <v>11</v>
      </c>
      <c r="B3" t="s">
        <v>37</v>
      </c>
      <c r="C3" t="s">
        <v>38</v>
      </c>
    </row>
    <row r="4" spans="1:3" x14ac:dyDescent="0.3">
      <c r="A4" s="12">
        <v>2000</v>
      </c>
      <c r="B4">
        <v>3.867</v>
      </c>
      <c r="C4">
        <v>0.40699999999999997</v>
      </c>
    </row>
    <row r="5" spans="1:3" x14ac:dyDescent="0.3">
      <c r="A5" s="12">
        <v>2001</v>
      </c>
      <c r="B5">
        <v>3.8919999999999999</v>
      </c>
      <c r="C5">
        <v>0.41</v>
      </c>
    </row>
    <row r="6" spans="1:3" x14ac:dyDescent="0.3">
      <c r="A6" s="12">
        <v>2002</v>
      </c>
      <c r="B6">
        <v>3.9279999999999999</v>
      </c>
      <c r="C6">
        <v>0.43</v>
      </c>
    </row>
    <row r="7" spans="1:3" x14ac:dyDescent="0.3">
      <c r="A7" s="12">
        <v>2003</v>
      </c>
      <c r="B7">
        <v>3.859</v>
      </c>
      <c r="C7">
        <v>0.42499999999999999</v>
      </c>
    </row>
    <row r="8" spans="1:3" x14ac:dyDescent="0.3">
      <c r="A8" s="12">
        <v>2004</v>
      </c>
      <c r="B8">
        <v>3.96</v>
      </c>
      <c r="C8">
        <v>0.45300000000000001</v>
      </c>
    </row>
    <row r="9" spans="1:3" x14ac:dyDescent="0.3">
      <c r="A9" s="12">
        <v>2005</v>
      </c>
      <c r="B9">
        <v>4.0339999999999998</v>
      </c>
      <c r="C9">
        <v>0.45100000000000001</v>
      </c>
    </row>
    <row r="10" spans="1:3" x14ac:dyDescent="0.3">
      <c r="A10" s="12">
        <v>2006</v>
      </c>
      <c r="B10">
        <v>4.22</v>
      </c>
      <c r="C10">
        <v>0.47</v>
      </c>
    </row>
    <row r="11" spans="1:3" x14ac:dyDescent="0.3">
      <c r="A11" s="12">
        <v>2007</v>
      </c>
      <c r="B11">
        <v>4.4160000000000004</v>
      </c>
      <c r="C11">
        <v>0.5</v>
      </c>
    </row>
    <row r="12" spans="1:3" x14ac:dyDescent="0.3">
      <c r="A12" s="12">
        <v>2008</v>
      </c>
      <c r="B12">
        <v>4.6440000000000001</v>
      </c>
      <c r="C12">
        <v>0.48399999999999999</v>
      </c>
    </row>
    <row r="13" spans="1:3" x14ac:dyDescent="0.3">
      <c r="A13" s="12">
        <v>2009</v>
      </c>
      <c r="B13">
        <v>5.1109999999999998</v>
      </c>
      <c r="C13">
        <v>0.49299999999999999</v>
      </c>
    </row>
    <row r="14" spans="1:3" x14ac:dyDescent="0.3">
      <c r="A14" s="12">
        <v>2010</v>
      </c>
      <c r="B14">
        <v>5.0289999999999999</v>
      </c>
      <c r="C14">
        <v>0.46200000000000002</v>
      </c>
    </row>
    <row r="15" spans="1:3" x14ac:dyDescent="0.3">
      <c r="A15" s="12">
        <v>2011</v>
      </c>
      <c r="B15">
        <v>5.1139999999999999</v>
      </c>
      <c r="C15">
        <v>0.44900000000000001</v>
      </c>
    </row>
    <row r="16" spans="1:3" x14ac:dyDescent="0.3">
      <c r="A16" s="12">
        <v>2012</v>
      </c>
      <c r="B16">
        <v>5.5019999999999998</v>
      </c>
      <c r="C16">
        <v>0.442</v>
      </c>
    </row>
    <row r="17" spans="1:3" x14ac:dyDescent="0.3">
      <c r="A17" s="12">
        <v>2013</v>
      </c>
      <c r="B17">
        <v>5.6520000000000001</v>
      </c>
      <c r="C17">
        <v>0.43</v>
      </c>
    </row>
    <row r="18" spans="1:3" x14ac:dyDescent="0.3">
      <c r="A18" s="12">
        <v>2014</v>
      </c>
      <c r="B18">
        <v>6.06</v>
      </c>
      <c r="C18">
        <v>0.442</v>
      </c>
    </row>
    <row r="19" spans="1:3" x14ac:dyDescent="0.3">
      <c r="A19" s="12">
        <v>2015</v>
      </c>
      <c r="B19">
        <v>6.31</v>
      </c>
      <c r="C19">
        <v>0.42499999999999999</v>
      </c>
    </row>
    <row r="20" spans="1:3" x14ac:dyDescent="0.3">
      <c r="A20" s="12">
        <v>2016</v>
      </c>
      <c r="B20">
        <v>6.6479999999999997</v>
      </c>
      <c r="C20">
        <v>0.503</v>
      </c>
    </row>
    <row r="21" spans="1:3" x14ac:dyDescent="0.3">
      <c r="A21" s="12">
        <v>2017</v>
      </c>
      <c r="B21">
        <v>6.742</v>
      </c>
      <c r="C21">
        <v>0.60699999999999998</v>
      </c>
    </row>
    <row r="22" spans="1:3" x14ac:dyDescent="0.3">
      <c r="A22" s="12">
        <v>2018</v>
      </c>
      <c r="B22">
        <v>7.06</v>
      </c>
      <c r="C22">
        <v>0.57299999999999995</v>
      </c>
    </row>
    <row r="23" spans="1:3" x14ac:dyDescent="0.3">
      <c r="A23" s="12">
        <v>2019</v>
      </c>
      <c r="B23">
        <v>7.0419999999999998</v>
      </c>
      <c r="C23">
        <v>0.56000000000000005</v>
      </c>
    </row>
    <row r="24" spans="1:3" x14ac:dyDescent="0.3">
      <c r="A24" s="12">
        <v>2020</v>
      </c>
      <c r="B24">
        <v>6.8940000000000001</v>
      </c>
      <c r="C24">
        <v>0.65700000000000003</v>
      </c>
    </row>
    <row r="25" spans="1:3" x14ac:dyDescent="0.3">
      <c r="A25" s="12" t="s">
        <v>12</v>
      </c>
      <c r="B25">
        <v>109.98400000000001</v>
      </c>
      <c r="C25">
        <v>10.073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64C90-F080-4F8C-926F-930892CF7FA7}">
  <dimension ref="A1:G8"/>
  <sheetViews>
    <sheetView zoomScale="92" workbookViewId="0">
      <selection activeCell="B10" sqref="B10"/>
    </sheetView>
  </sheetViews>
  <sheetFormatPr defaultRowHeight="14.4" x14ac:dyDescent="0.3"/>
  <cols>
    <col min="1" max="1" width="12.6640625" customWidth="1"/>
    <col min="2" max="2" width="15.33203125" customWidth="1"/>
    <col min="3" max="3" width="12.44140625" customWidth="1"/>
    <col min="4" max="4" width="19" customWidth="1"/>
    <col min="5" max="5" width="18.77734375" customWidth="1"/>
    <col min="6" max="6" width="18" customWidth="1"/>
    <col min="7" max="7" width="18.5546875" customWidth="1"/>
  </cols>
  <sheetData>
    <row r="1" spans="1:7" ht="17.399999999999999" x14ac:dyDescent="0.3">
      <c r="A1" s="42" t="s">
        <v>39</v>
      </c>
      <c r="B1" s="42"/>
      <c r="C1" s="42"/>
      <c r="D1" s="42"/>
      <c r="E1" s="42"/>
      <c r="F1" s="42"/>
      <c r="G1" s="42"/>
    </row>
    <row r="2" spans="1:7" x14ac:dyDescent="0.3">
      <c r="A2" s="2" t="s">
        <v>27</v>
      </c>
      <c r="B2" s="2" t="s">
        <v>40</v>
      </c>
      <c r="C2" s="2" t="s">
        <v>41</v>
      </c>
      <c r="D2" s="2" t="s">
        <v>42</v>
      </c>
      <c r="E2" s="2" t="s">
        <v>43</v>
      </c>
      <c r="F2" s="2" t="s">
        <v>44</v>
      </c>
      <c r="G2" s="2" t="s">
        <v>45</v>
      </c>
    </row>
    <row r="3" spans="1:7" ht="27.6" x14ac:dyDescent="0.3">
      <c r="A3" s="20" t="s">
        <v>23</v>
      </c>
      <c r="B3" s="4">
        <v>14.14</v>
      </c>
      <c r="C3" s="21">
        <v>4689.95</v>
      </c>
      <c r="D3" s="4">
        <v>13.42</v>
      </c>
      <c r="E3" s="6">
        <v>63516</v>
      </c>
      <c r="F3" s="6">
        <v>63516</v>
      </c>
      <c r="G3" s="4">
        <v>14.14</v>
      </c>
    </row>
    <row r="4" spans="1:7" x14ac:dyDescent="0.3">
      <c r="A4" s="22" t="s">
        <v>17</v>
      </c>
      <c r="B4" s="8">
        <v>7.72</v>
      </c>
      <c r="C4" s="23">
        <v>10896.52</v>
      </c>
      <c r="D4" s="8">
        <v>31.05</v>
      </c>
      <c r="E4" s="10">
        <v>10627</v>
      </c>
      <c r="F4" s="10">
        <v>10627</v>
      </c>
      <c r="G4" s="8">
        <v>7.72</v>
      </c>
    </row>
    <row r="5" spans="1:7" ht="27.6" x14ac:dyDescent="0.3">
      <c r="A5" s="20" t="s">
        <v>46</v>
      </c>
      <c r="B5" s="4">
        <v>4.4800000000000004</v>
      </c>
      <c r="C5" s="21">
        <v>35158.230000000003</v>
      </c>
      <c r="D5" s="4">
        <v>100</v>
      </c>
      <c r="E5" s="6">
        <v>10938</v>
      </c>
      <c r="F5" s="6">
        <v>10938</v>
      </c>
      <c r="G5" s="4">
        <v>4.4800000000000004</v>
      </c>
    </row>
    <row r="6" spans="1:7" x14ac:dyDescent="0.3">
      <c r="A6" s="22" t="s">
        <v>19</v>
      </c>
      <c r="B6" s="8">
        <v>1.73</v>
      </c>
      <c r="C6" s="23">
        <v>2422.73</v>
      </c>
      <c r="D6" s="8">
        <v>6.89</v>
      </c>
      <c r="E6" s="10">
        <v>1907</v>
      </c>
      <c r="F6" s="10">
        <v>1907</v>
      </c>
      <c r="G6" s="8">
        <v>1.73</v>
      </c>
    </row>
    <row r="7" spans="1:7" x14ac:dyDescent="0.3">
      <c r="A7" s="24" t="s">
        <v>21</v>
      </c>
      <c r="B7" s="25">
        <v>0.92</v>
      </c>
      <c r="C7" s="26">
        <v>215.51</v>
      </c>
      <c r="D7" s="25">
        <v>0.66</v>
      </c>
      <c r="E7" s="27">
        <v>1278</v>
      </c>
      <c r="F7" s="27">
        <v>1278</v>
      </c>
      <c r="G7" s="25">
        <v>0.92</v>
      </c>
    </row>
    <row r="8" spans="1:7" ht="27.6" x14ac:dyDescent="0.3">
      <c r="A8" s="22" t="s">
        <v>15</v>
      </c>
      <c r="B8" s="8">
        <v>0.57999999999999996</v>
      </c>
      <c r="C8" s="23">
        <v>95.73</v>
      </c>
      <c r="D8" s="8">
        <v>0.27</v>
      </c>
      <c r="E8" s="10">
        <v>2249</v>
      </c>
      <c r="F8" s="10">
        <v>2249</v>
      </c>
      <c r="G8" s="8">
        <v>0.57999999999999996</v>
      </c>
    </row>
  </sheetData>
  <mergeCells count="1">
    <mergeCell ref="A1:G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BE609-2B41-4B4B-B06E-16B4E5A3C136}">
  <dimension ref="E1:M24"/>
  <sheetViews>
    <sheetView topLeftCell="F1" zoomScale="92" workbookViewId="0">
      <selection activeCell="H28" sqref="H28"/>
    </sheetView>
  </sheetViews>
  <sheetFormatPr defaultRowHeight="14.4" x14ac:dyDescent="0.3"/>
  <cols>
    <col min="1" max="4" width="8.88671875" style="1"/>
    <col min="5" max="5" width="12.44140625" style="1" customWidth="1"/>
    <col min="6" max="6" width="15.5546875" style="1" customWidth="1"/>
    <col min="7" max="7" width="15" style="1" customWidth="1"/>
    <col min="8" max="8" width="14.5546875" style="1" customWidth="1"/>
    <col min="9" max="9" width="15.6640625" style="1" customWidth="1"/>
    <col min="10" max="10" width="15.33203125" style="1" customWidth="1"/>
    <col min="11" max="11" width="16.109375" style="1" customWidth="1"/>
    <col min="12" max="12" width="15.5546875" style="1" customWidth="1"/>
    <col min="13" max="13" width="8.88671875" style="1" customWidth="1"/>
    <col min="14" max="16384" width="8.88671875" style="1"/>
  </cols>
  <sheetData>
    <row r="1" spans="5:13" ht="17.399999999999999" x14ac:dyDescent="0.3">
      <c r="E1" s="43" t="s">
        <v>0</v>
      </c>
      <c r="F1" s="43"/>
      <c r="G1" s="43"/>
      <c r="H1" s="43"/>
      <c r="I1" s="43"/>
      <c r="J1" s="43"/>
      <c r="K1" s="43"/>
      <c r="L1" s="43"/>
      <c r="M1" s="43"/>
    </row>
    <row r="2" spans="5:13" x14ac:dyDescent="0.3">
      <c r="E2" s="44" t="s">
        <v>1</v>
      </c>
      <c r="F2" s="44"/>
      <c r="G2" s="44"/>
      <c r="H2" s="44"/>
      <c r="I2" s="44"/>
      <c r="J2" s="44"/>
      <c r="K2" s="44"/>
      <c r="L2" s="44"/>
      <c r="M2" s="44"/>
    </row>
    <row r="3" spans="5:13" ht="55.2" x14ac:dyDescent="0.3">
      <c r="E3" s="2" t="s">
        <v>2</v>
      </c>
      <c r="F3" s="2" t="s">
        <v>3</v>
      </c>
      <c r="G3" s="2" t="s">
        <v>4</v>
      </c>
      <c r="H3" s="2" t="s">
        <v>5</v>
      </c>
      <c r="I3" s="2" t="s">
        <v>6</v>
      </c>
      <c r="J3" s="2" t="s">
        <v>7</v>
      </c>
      <c r="K3" s="2" t="s">
        <v>8</v>
      </c>
      <c r="L3" s="2" t="s">
        <v>9</v>
      </c>
      <c r="M3" s="2" t="s">
        <v>10</v>
      </c>
    </row>
    <row r="4" spans="5:13" x14ac:dyDescent="0.3">
      <c r="E4" s="3">
        <v>2000</v>
      </c>
      <c r="F4" s="4">
        <v>103.94</v>
      </c>
      <c r="G4" s="5">
        <v>0.67100000000000004</v>
      </c>
      <c r="H4" s="6">
        <v>642</v>
      </c>
      <c r="I4" s="5">
        <v>0.40699999999999997</v>
      </c>
      <c r="J4" s="4">
        <v>987.07</v>
      </c>
      <c r="K4" s="5">
        <v>0.93300000000000005</v>
      </c>
      <c r="L4" s="5">
        <v>3.867</v>
      </c>
      <c r="M4" s="5">
        <v>4.1399999999999997</v>
      </c>
    </row>
    <row r="5" spans="5:13" x14ac:dyDescent="0.3">
      <c r="E5" s="7">
        <v>2001</v>
      </c>
      <c r="F5" s="8">
        <v>105.4</v>
      </c>
      <c r="G5" s="9">
        <v>0.66200000000000003</v>
      </c>
      <c r="H5" s="10">
        <v>610</v>
      </c>
      <c r="I5" s="9">
        <v>0.41</v>
      </c>
      <c r="J5" s="8">
        <v>1001.2</v>
      </c>
      <c r="K5" s="9">
        <v>0.92900000000000005</v>
      </c>
      <c r="L5" s="9">
        <v>3.8919999999999999</v>
      </c>
      <c r="M5" s="9">
        <v>4.1139999999999999</v>
      </c>
    </row>
    <row r="6" spans="5:13" x14ac:dyDescent="0.3">
      <c r="E6" s="3">
        <v>2002</v>
      </c>
      <c r="F6" s="4">
        <v>110.57</v>
      </c>
      <c r="G6" s="5">
        <v>0.67700000000000005</v>
      </c>
      <c r="H6" s="6">
        <v>600</v>
      </c>
      <c r="I6" s="5">
        <v>0.43</v>
      </c>
      <c r="J6" s="4">
        <v>1032.75</v>
      </c>
      <c r="K6" s="5">
        <v>0.94099999999999995</v>
      </c>
      <c r="L6" s="5">
        <v>3.9279999999999999</v>
      </c>
      <c r="M6" s="5">
        <v>4.1509999999999998</v>
      </c>
    </row>
    <row r="7" spans="5:13" x14ac:dyDescent="0.3">
      <c r="E7" s="7">
        <v>2003</v>
      </c>
      <c r="F7" s="8">
        <v>113.14</v>
      </c>
      <c r="G7" s="9">
        <v>0.67700000000000005</v>
      </c>
      <c r="H7" s="10">
        <v>672</v>
      </c>
      <c r="I7" s="9">
        <v>0.42499999999999999</v>
      </c>
      <c r="J7" s="8">
        <v>1068.4000000000001</v>
      </c>
      <c r="K7" s="9">
        <v>0.95699999999999996</v>
      </c>
      <c r="L7" s="9">
        <v>3.859</v>
      </c>
      <c r="M7" s="9">
        <v>4.3140000000000001</v>
      </c>
    </row>
    <row r="8" spans="5:13" x14ac:dyDescent="0.3">
      <c r="E8" s="3">
        <v>2004</v>
      </c>
      <c r="F8" s="4">
        <v>124.64</v>
      </c>
      <c r="G8" s="5">
        <v>0.72799999999999998</v>
      </c>
      <c r="H8" s="6">
        <v>772</v>
      </c>
      <c r="I8" s="5">
        <v>0.45300000000000001</v>
      </c>
      <c r="J8" s="4">
        <v>1134.6099999999999</v>
      </c>
      <c r="K8" s="5">
        <v>0.999</v>
      </c>
      <c r="L8" s="5">
        <v>3.96</v>
      </c>
      <c r="M8" s="5">
        <v>4.4059999999999997</v>
      </c>
    </row>
    <row r="9" spans="5:13" x14ac:dyDescent="0.3">
      <c r="E9" s="7">
        <v>2005</v>
      </c>
      <c r="F9" s="8">
        <v>129.94999999999999</v>
      </c>
      <c r="G9" s="9">
        <v>0.74099999999999999</v>
      </c>
      <c r="H9" s="10">
        <v>828</v>
      </c>
      <c r="I9" s="9">
        <v>0.45100000000000001</v>
      </c>
      <c r="J9" s="8">
        <v>1195.3900000000001</v>
      </c>
      <c r="K9" s="9">
        <v>1.0349999999999999</v>
      </c>
      <c r="L9" s="9">
        <v>4.0339999999999998</v>
      </c>
      <c r="M9" s="9">
        <v>4.5010000000000003</v>
      </c>
    </row>
    <row r="10" spans="5:13" x14ac:dyDescent="0.3">
      <c r="E10" s="3">
        <v>2006</v>
      </c>
      <c r="F10" s="4">
        <v>137.91</v>
      </c>
      <c r="G10" s="5">
        <v>0.76800000000000002</v>
      </c>
      <c r="H10" s="6">
        <v>901</v>
      </c>
      <c r="I10" s="5">
        <v>0.47</v>
      </c>
      <c r="J10" s="4">
        <v>1293.32</v>
      </c>
      <c r="K10" s="5">
        <v>1.103</v>
      </c>
      <c r="L10" s="5">
        <v>4.22</v>
      </c>
      <c r="M10" s="5">
        <v>4.5940000000000003</v>
      </c>
    </row>
    <row r="11" spans="5:13" x14ac:dyDescent="0.3">
      <c r="E11" s="7">
        <v>2007</v>
      </c>
      <c r="F11" s="8">
        <v>148.35</v>
      </c>
      <c r="G11" s="9">
        <v>0.80400000000000005</v>
      </c>
      <c r="H11" s="10">
        <v>998</v>
      </c>
      <c r="I11" s="9">
        <v>0.5</v>
      </c>
      <c r="J11" s="8">
        <v>1393.49</v>
      </c>
      <c r="K11" s="9">
        <v>1.17</v>
      </c>
      <c r="L11" s="9">
        <v>4.4160000000000004</v>
      </c>
      <c r="M11" s="9">
        <v>4.67</v>
      </c>
    </row>
    <row r="12" spans="5:13" x14ac:dyDescent="0.3">
      <c r="E12" s="3">
        <v>2008</v>
      </c>
      <c r="F12" s="4">
        <v>147.9</v>
      </c>
      <c r="G12" s="5">
        <v>0.78</v>
      </c>
      <c r="H12" s="6">
        <v>1067</v>
      </c>
      <c r="I12" s="5">
        <v>0.48399999999999999</v>
      </c>
      <c r="J12" s="4">
        <v>1490.37</v>
      </c>
      <c r="K12" s="5">
        <v>1.234</v>
      </c>
      <c r="L12" s="5">
        <v>4.6440000000000001</v>
      </c>
      <c r="M12" s="5">
        <v>4.6920000000000002</v>
      </c>
    </row>
    <row r="13" spans="5:13" x14ac:dyDescent="0.3">
      <c r="E13" s="7">
        <v>2009</v>
      </c>
      <c r="F13" s="8">
        <v>148.35</v>
      </c>
      <c r="G13" s="9">
        <v>0.76300000000000001</v>
      </c>
      <c r="H13" s="10">
        <v>964</v>
      </c>
      <c r="I13" s="9">
        <v>0.49299999999999999</v>
      </c>
      <c r="J13" s="8">
        <v>1613.33</v>
      </c>
      <c r="K13" s="9">
        <v>1.3160000000000001</v>
      </c>
      <c r="L13" s="9">
        <v>5.1109999999999998</v>
      </c>
      <c r="M13" s="9">
        <v>4.556</v>
      </c>
    </row>
    <row r="14" spans="5:13" x14ac:dyDescent="0.3">
      <c r="E14" s="3">
        <v>2010</v>
      </c>
      <c r="F14" s="4">
        <v>147.5</v>
      </c>
      <c r="G14" s="5">
        <v>0.74</v>
      </c>
      <c r="H14" s="6">
        <v>987</v>
      </c>
      <c r="I14" s="5">
        <v>0.46200000000000002</v>
      </c>
      <c r="J14" s="4">
        <v>1678.53</v>
      </c>
      <c r="K14" s="5">
        <v>1.35</v>
      </c>
      <c r="L14" s="5">
        <v>5.0289999999999999</v>
      </c>
      <c r="M14" s="5">
        <v>4.7590000000000003</v>
      </c>
    </row>
    <row r="15" spans="5:13" x14ac:dyDescent="0.3">
      <c r="E15" s="7">
        <v>2011</v>
      </c>
      <c r="F15" s="8">
        <v>149.49</v>
      </c>
      <c r="G15" s="9">
        <v>0.73399999999999999</v>
      </c>
      <c r="H15" s="10">
        <v>1132</v>
      </c>
      <c r="I15" s="9">
        <v>0.44900000000000001</v>
      </c>
      <c r="J15" s="8">
        <v>1765.69</v>
      </c>
      <c r="K15" s="9">
        <v>1.4</v>
      </c>
      <c r="L15" s="9">
        <v>5.1139999999999999</v>
      </c>
      <c r="M15" s="9">
        <v>4.8650000000000002</v>
      </c>
    </row>
    <row r="16" spans="5:13" x14ac:dyDescent="0.3">
      <c r="E16" s="3">
        <v>2012</v>
      </c>
      <c r="F16" s="4">
        <v>150.56</v>
      </c>
      <c r="G16" s="5">
        <v>0.72499999999999998</v>
      </c>
      <c r="H16" s="6">
        <v>1204</v>
      </c>
      <c r="I16" s="5">
        <v>0.442</v>
      </c>
      <c r="J16" s="4">
        <v>1926.99</v>
      </c>
      <c r="K16" s="5">
        <v>1.5069999999999999</v>
      </c>
      <c r="L16" s="5">
        <v>5.5019999999999998</v>
      </c>
      <c r="M16" s="5">
        <v>4.87</v>
      </c>
    </row>
    <row r="17" spans="5:13" x14ac:dyDescent="0.3">
      <c r="E17" s="7">
        <v>2013</v>
      </c>
      <c r="F17" s="8">
        <v>148.18</v>
      </c>
      <c r="G17" s="9">
        <v>0.70199999999999996</v>
      </c>
      <c r="H17" s="10">
        <v>1225</v>
      </c>
      <c r="I17" s="9">
        <v>0.43</v>
      </c>
      <c r="J17" s="8">
        <v>1995.34</v>
      </c>
      <c r="K17" s="9">
        <v>1.54</v>
      </c>
      <c r="L17" s="9">
        <v>5.6520000000000001</v>
      </c>
      <c r="M17" s="9">
        <v>4.8550000000000004</v>
      </c>
    </row>
    <row r="18" spans="5:13" x14ac:dyDescent="0.3">
      <c r="E18" s="3">
        <v>2014</v>
      </c>
      <c r="F18" s="4">
        <v>150.81</v>
      </c>
      <c r="G18" s="5">
        <v>0.70399999999999996</v>
      </c>
      <c r="H18" s="6">
        <v>1267</v>
      </c>
      <c r="I18" s="5">
        <v>0.442</v>
      </c>
      <c r="J18" s="4">
        <v>2148.0500000000002</v>
      </c>
      <c r="K18" s="5">
        <v>1.637</v>
      </c>
      <c r="L18" s="5">
        <v>6.06</v>
      </c>
      <c r="M18" s="5">
        <v>4.8230000000000004</v>
      </c>
    </row>
    <row r="19" spans="5:13" x14ac:dyDescent="0.3">
      <c r="E19" s="7">
        <v>2015</v>
      </c>
      <c r="F19" s="8">
        <v>144.9</v>
      </c>
      <c r="G19" s="9">
        <v>0.66700000000000004</v>
      </c>
      <c r="H19" s="10">
        <v>1380</v>
      </c>
      <c r="I19" s="9">
        <v>0.42499999999999999</v>
      </c>
      <c r="J19" s="8">
        <v>2231.8200000000002</v>
      </c>
      <c r="K19" s="9">
        <v>1.681</v>
      </c>
      <c r="L19" s="9">
        <v>6.31</v>
      </c>
      <c r="M19" s="9">
        <v>4.7569999999999997</v>
      </c>
    </row>
    <row r="20" spans="5:13" x14ac:dyDescent="0.3">
      <c r="E20" s="3">
        <v>2016</v>
      </c>
      <c r="F20" s="4">
        <v>176.74</v>
      </c>
      <c r="G20" s="5">
        <v>0.80300000000000005</v>
      </c>
      <c r="H20" s="6">
        <v>1425</v>
      </c>
      <c r="I20" s="5">
        <v>0.503</v>
      </c>
      <c r="J20" s="4">
        <v>2352.54</v>
      </c>
      <c r="K20" s="5">
        <v>1.75</v>
      </c>
      <c r="L20" s="5">
        <v>6.6479999999999997</v>
      </c>
      <c r="M20" s="5">
        <v>4.7009999999999996</v>
      </c>
    </row>
    <row r="21" spans="5:13" x14ac:dyDescent="0.3">
      <c r="E21" s="7">
        <v>2017</v>
      </c>
      <c r="F21" s="8">
        <v>211.98</v>
      </c>
      <c r="G21" s="9">
        <v>0.94899999999999995</v>
      </c>
      <c r="H21" s="10">
        <v>1519</v>
      </c>
      <c r="I21" s="9">
        <v>0.60699999999999998</v>
      </c>
      <c r="J21" s="8">
        <v>2425.7199999999998</v>
      </c>
      <c r="K21" s="9">
        <v>1.784</v>
      </c>
      <c r="L21" s="9">
        <v>6.742</v>
      </c>
      <c r="M21" s="9">
        <v>4.7240000000000002</v>
      </c>
    </row>
    <row r="22" spans="5:13" x14ac:dyDescent="0.3">
      <c r="E22" s="3">
        <v>2018</v>
      </c>
      <c r="F22" s="4">
        <v>203.5</v>
      </c>
      <c r="G22" s="5">
        <v>0.89700000000000002</v>
      </c>
      <c r="H22" s="6">
        <v>1569</v>
      </c>
      <c r="I22" s="5">
        <v>0.57299999999999995</v>
      </c>
      <c r="J22" s="4">
        <v>2595.23</v>
      </c>
      <c r="K22" s="5">
        <v>1.8879999999999999</v>
      </c>
      <c r="L22" s="5">
        <v>7.06</v>
      </c>
      <c r="M22" s="5">
        <v>4.7720000000000002</v>
      </c>
    </row>
    <row r="23" spans="5:13" x14ac:dyDescent="0.3">
      <c r="E23" s="7">
        <v>2019</v>
      </c>
      <c r="F23" s="8">
        <v>190.83</v>
      </c>
      <c r="G23" s="9">
        <v>0.82699999999999996</v>
      </c>
      <c r="H23" s="10">
        <v>1390</v>
      </c>
      <c r="I23" s="9">
        <v>0.56000000000000005</v>
      </c>
      <c r="J23" s="8">
        <v>2611.17</v>
      </c>
      <c r="K23" s="9">
        <v>1.88</v>
      </c>
      <c r="L23" s="9">
        <v>7.0419999999999998</v>
      </c>
      <c r="M23" s="9">
        <v>4.7679999999999998</v>
      </c>
    </row>
    <row r="24" spans="5:13" x14ac:dyDescent="0.3">
      <c r="E24" s="3">
        <v>2020</v>
      </c>
      <c r="F24" s="4">
        <v>215.51</v>
      </c>
      <c r="G24" s="5">
        <v>0.91700000000000004</v>
      </c>
      <c r="H24" s="6">
        <v>1278</v>
      </c>
      <c r="I24" s="5">
        <v>0.65700000000000003</v>
      </c>
      <c r="J24" s="4">
        <v>2422.73</v>
      </c>
      <c r="K24" s="5">
        <v>1.7270000000000001</v>
      </c>
      <c r="L24" s="5">
        <v>6.8940000000000001</v>
      </c>
      <c r="M24" s="5">
        <v>4.476</v>
      </c>
    </row>
  </sheetData>
  <mergeCells count="2">
    <mergeCell ref="E1:M1"/>
    <mergeCell ref="E2:M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F06A7E-AE63-4233-9D8B-C20E2DD4BAC6}">
  <dimension ref="A1:J127"/>
  <sheetViews>
    <sheetView workbookViewId="0">
      <selection activeCell="K43" sqref="K43"/>
    </sheetView>
  </sheetViews>
  <sheetFormatPr defaultRowHeight="14.4" x14ac:dyDescent="0.3"/>
  <cols>
    <col min="1" max="1" width="11.88671875" bestFit="1" customWidth="1"/>
    <col min="2" max="2" width="10.6640625" bestFit="1" customWidth="1"/>
    <col min="4" max="4" width="14.77734375" customWidth="1"/>
    <col min="5" max="5" width="15.44140625" bestFit="1" customWidth="1"/>
    <col min="6" max="6" width="19.77734375" customWidth="1"/>
    <col min="7" max="7" width="17.33203125" customWidth="1"/>
    <col min="8" max="8" width="22.33203125" customWidth="1"/>
    <col min="9" max="9" width="22.21875" customWidth="1"/>
    <col min="10" max="10" width="17.6640625" customWidth="1"/>
  </cols>
  <sheetData>
    <row r="1" spans="1:10" s="41" customFormat="1" ht="78.599999999999994" customHeight="1" x14ac:dyDescent="0.3">
      <c r="A1" s="13" t="s">
        <v>27</v>
      </c>
      <c r="B1" s="13" t="s">
        <v>28</v>
      </c>
      <c r="C1" s="13" t="s">
        <v>2</v>
      </c>
      <c r="D1" s="13" t="s">
        <v>29</v>
      </c>
      <c r="E1" s="13" t="s">
        <v>30</v>
      </c>
      <c r="F1" s="13" t="s">
        <v>31</v>
      </c>
      <c r="G1" s="13" t="s">
        <v>32</v>
      </c>
      <c r="H1" s="13" t="s">
        <v>33</v>
      </c>
      <c r="I1" s="13" t="s">
        <v>34</v>
      </c>
      <c r="J1" s="13" t="s">
        <v>35</v>
      </c>
    </row>
    <row r="2" spans="1:10" x14ac:dyDescent="0.3">
      <c r="A2" s="14" t="s">
        <v>15</v>
      </c>
      <c r="B2" s="14" t="s">
        <v>16</v>
      </c>
      <c r="C2" s="14">
        <v>2000</v>
      </c>
      <c r="D2" s="14">
        <v>26539266</v>
      </c>
      <c r="E2" s="14">
        <v>134544304</v>
      </c>
      <c r="F2" s="14">
        <v>396.67073024975099</v>
      </c>
      <c r="G2" s="14">
        <f t="shared" ref="G2:G65" si="0">D2/E2</f>
        <v>0.19725298813095796</v>
      </c>
      <c r="H2" s="14">
        <v>0.1040325</v>
      </c>
      <c r="I2" s="14">
        <v>124542760</v>
      </c>
      <c r="J2" s="14">
        <f>Table1[[#This Row],[Population, total]]*Table1[[#This Row],[GDP per capita (current US$)]]</f>
        <v>53369787318.624496</v>
      </c>
    </row>
    <row r="3" spans="1:10" x14ac:dyDescent="0.3">
      <c r="A3" s="14" t="s">
        <v>15</v>
      </c>
      <c r="B3" s="14" t="s">
        <v>16</v>
      </c>
      <c r="C3" s="14">
        <v>2001</v>
      </c>
      <c r="D3" s="14">
        <v>31064220</v>
      </c>
      <c r="E3" s="14">
        <v>136805810</v>
      </c>
      <c r="F3" s="14">
        <v>394.65641001890998</v>
      </c>
      <c r="G3" s="14">
        <f t="shared" si="0"/>
        <v>0.22706798782887949</v>
      </c>
      <c r="H3" s="14">
        <v>0.12084286</v>
      </c>
      <c r="I3" s="14">
        <v>128718780</v>
      </c>
      <c r="J3" s="14">
        <f>Table1[[#This Row],[Population, total]]*Table1[[#This Row],[GDP per capita (current US$)]]</f>
        <v>53991289844.329094</v>
      </c>
    </row>
    <row r="4" spans="1:10" x14ac:dyDescent="0.3">
      <c r="A4" s="14" t="s">
        <v>15</v>
      </c>
      <c r="B4" s="14" t="s">
        <v>16</v>
      </c>
      <c r="C4" s="14">
        <v>2002</v>
      </c>
      <c r="D4" s="14">
        <v>32006890</v>
      </c>
      <c r="E4" s="14">
        <v>138933658</v>
      </c>
      <c r="F4" s="14">
        <v>393.886422327628</v>
      </c>
      <c r="G4" s="14">
        <f t="shared" si="0"/>
        <v>0.23037534936278722</v>
      </c>
      <c r="H4" s="14">
        <v>0.12180632</v>
      </c>
      <c r="I4" s="14">
        <v>130745050</v>
      </c>
      <c r="J4" s="14">
        <f>Table1[[#This Row],[Population, total]]*Table1[[#This Row],[GDP per capita (current US$)]]</f>
        <v>54724081490.510231</v>
      </c>
    </row>
    <row r="5" spans="1:10" x14ac:dyDescent="0.3">
      <c r="A5" s="14" t="s">
        <v>15</v>
      </c>
      <c r="B5" s="14" t="s">
        <v>16</v>
      </c>
      <c r="C5" s="14">
        <v>2003</v>
      </c>
      <c r="D5" s="14">
        <v>33495934</v>
      </c>
      <c r="E5" s="14">
        <v>140970351</v>
      </c>
      <c r="F5" s="14">
        <v>426.74880754361999</v>
      </c>
      <c r="G5" s="14">
        <f t="shared" si="0"/>
        <v>0.2376097793783602</v>
      </c>
      <c r="H5" s="14">
        <v>0.121056445</v>
      </c>
      <c r="I5" s="14">
        <v>132480960</v>
      </c>
      <c r="J5" s="14">
        <f>Table1[[#This Row],[Population, total]]*Table1[[#This Row],[GDP per capita (current US$)]]</f>
        <v>60158929188.255554</v>
      </c>
    </row>
    <row r="6" spans="1:10" x14ac:dyDescent="0.3">
      <c r="A6" s="14" t="s">
        <v>15</v>
      </c>
      <c r="B6" s="14" t="s">
        <v>16</v>
      </c>
      <c r="C6" s="14">
        <v>2004</v>
      </c>
      <c r="D6" s="14">
        <v>35978172</v>
      </c>
      <c r="E6" s="14">
        <v>142902856</v>
      </c>
      <c r="F6" s="14">
        <v>455.61401690979801</v>
      </c>
      <c r="G6" s="14">
        <f t="shared" si="0"/>
        <v>0.25176664068911259</v>
      </c>
      <c r="H6" s="14">
        <v>0.12566778000000001</v>
      </c>
      <c r="I6" s="14">
        <v>134663090</v>
      </c>
      <c r="J6" s="14">
        <f>Table1[[#This Row],[Population, total]]*Table1[[#This Row],[GDP per capita (current US$)]]</f>
        <v>65108544250.042427</v>
      </c>
    </row>
    <row r="7" spans="1:10" x14ac:dyDescent="0.3">
      <c r="A7" s="14" t="s">
        <v>15</v>
      </c>
      <c r="B7" s="14" t="s">
        <v>16</v>
      </c>
      <c r="C7" s="14">
        <v>2005</v>
      </c>
      <c r="D7" s="14">
        <v>37716676</v>
      </c>
      <c r="E7" s="14">
        <v>144715786</v>
      </c>
      <c r="F7" s="14">
        <v>480.08585075451998</v>
      </c>
      <c r="G7" s="14">
        <f t="shared" si="0"/>
        <v>0.26062585874356514</v>
      </c>
      <c r="H7" s="14">
        <v>0.12735996999999999</v>
      </c>
      <c r="I7" s="14">
        <v>137185170</v>
      </c>
      <c r="J7" s="14">
        <f>Table1[[#This Row],[Population, total]]*Table1[[#This Row],[GDP per capita (current US$)]]</f>
        <v>69476001239.419052</v>
      </c>
    </row>
    <row r="8" spans="1:10" x14ac:dyDescent="0.3">
      <c r="A8" s="14" t="s">
        <v>15</v>
      </c>
      <c r="B8" s="14" t="s">
        <v>16</v>
      </c>
      <c r="C8" s="14">
        <v>2006</v>
      </c>
      <c r="D8" s="14">
        <v>41725810</v>
      </c>
      <c r="E8" s="14">
        <v>146405973</v>
      </c>
      <c r="F8" s="14">
        <v>490.38802653328901</v>
      </c>
      <c r="G8" s="14">
        <f t="shared" si="0"/>
        <v>0.28500073559157318</v>
      </c>
      <c r="H8" s="14">
        <v>0.13623241999999999</v>
      </c>
      <c r="I8" s="14">
        <v>143213220</v>
      </c>
      <c r="J8" s="14">
        <f>Table1[[#This Row],[Population, total]]*Table1[[#This Row],[GDP per capita (current US$)]]</f>
        <v>71795736172.155991</v>
      </c>
    </row>
    <row r="9" spans="1:10" x14ac:dyDescent="0.3">
      <c r="A9" s="14" t="s">
        <v>15</v>
      </c>
      <c r="B9" s="14" t="s">
        <v>16</v>
      </c>
      <c r="C9" s="14">
        <v>2007</v>
      </c>
      <c r="D9" s="14">
        <v>42675104</v>
      </c>
      <c r="E9" s="14">
        <v>147989278</v>
      </c>
      <c r="F9" s="14">
        <v>537.95549279291095</v>
      </c>
      <c r="G9" s="14">
        <f t="shared" si="0"/>
        <v>0.28836618825858451</v>
      </c>
      <c r="H9" s="14">
        <v>0.13532825000000001</v>
      </c>
      <c r="I9" s="14">
        <v>147177870</v>
      </c>
      <c r="J9" s="14">
        <f>Table1[[#This Row],[Population, total]]*Table1[[#This Row],[GDP per capita (current US$)]]</f>
        <v>79611644974.557098</v>
      </c>
    </row>
    <row r="10" spans="1:10" x14ac:dyDescent="0.3">
      <c r="A10" s="14" t="s">
        <v>15</v>
      </c>
      <c r="B10" s="14" t="s">
        <v>16</v>
      </c>
      <c r="C10" s="14">
        <v>2008</v>
      </c>
      <c r="D10" s="14">
        <v>45341492</v>
      </c>
      <c r="E10" s="14">
        <v>149474264</v>
      </c>
      <c r="F10" s="14">
        <v>613.06204104124004</v>
      </c>
      <c r="G10" s="14">
        <f t="shared" si="0"/>
        <v>0.30333979098903607</v>
      </c>
      <c r="H10" s="14">
        <v>0.14136438000000001</v>
      </c>
      <c r="I10" s="14">
        <v>155325460</v>
      </c>
      <c r="J10" s="14">
        <f>Table1[[#This Row],[Population, total]]*Table1[[#This Row],[GDP per capita (current US$)]]</f>
        <v>91636997370.977142</v>
      </c>
    </row>
    <row r="11" spans="1:10" x14ac:dyDescent="0.3">
      <c r="A11" s="14" t="s">
        <v>15</v>
      </c>
      <c r="B11" s="14" t="s">
        <v>16</v>
      </c>
      <c r="C11" s="14">
        <v>2009</v>
      </c>
      <c r="D11" s="14">
        <v>49188376</v>
      </c>
      <c r="E11" s="14">
        <v>150873714</v>
      </c>
      <c r="F11" s="14">
        <v>679.21147742805601</v>
      </c>
      <c r="G11" s="14">
        <f t="shared" si="0"/>
        <v>0.32602349803624509</v>
      </c>
      <c r="H11" s="14">
        <v>0.15594605</v>
      </c>
      <c r="I11" s="14">
        <v>158020210</v>
      </c>
      <c r="J11" s="14">
        <f>Table1[[#This Row],[Population, total]]*Table1[[#This Row],[GDP per capita (current US$)]]</f>
        <v>102475158190.99799</v>
      </c>
    </row>
    <row r="12" spans="1:10" x14ac:dyDescent="0.3">
      <c r="A12" s="14" t="s">
        <v>15</v>
      </c>
      <c r="B12" s="14" t="s">
        <v>16</v>
      </c>
      <c r="C12" s="14">
        <v>2010</v>
      </c>
      <c r="D12" s="14">
        <v>54035524</v>
      </c>
      <c r="E12" s="14">
        <v>152201981</v>
      </c>
      <c r="F12" s="14">
        <v>757.38528036150797</v>
      </c>
      <c r="G12" s="14">
        <f t="shared" si="0"/>
        <v>0.35502510312267221</v>
      </c>
      <c r="H12" s="14">
        <v>0.16199689</v>
      </c>
      <c r="I12" s="14">
        <v>164582450</v>
      </c>
      <c r="J12" s="14">
        <f>Table1[[#This Row],[Population, total]]*Table1[[#This Row],[GDP per capita (current US$)]]</f>
        <v>115275540051.2619</v>
      </c>
    </row>
    <row r="13" spans="1:10" x14ac:dyDescent="0.3">
      <c r="A13" s="14" t="s">
        <v>15</v>
      </c>
      <c r="B13" s="14" t="s">
        <v>16</v>
      </c>
      <c r="C13" s="14">
        <v>2011</v>
      </c>
      <c r="D13" s="14">
        <v>55592710</v>
      </c>
      <c r="E13" s="14">
        <v>153591076</v>
      </c>
      <c r="F13" s="14">
        <v>837.33694469564705</v>
      </c>
      <c r="G13" s="14">
        <f t="shared" si="0"/>
        <v>0.3619527348060248</v>
      </c>
      <c r="H13" s="14">
        <v>0.16111710000000001</v>
      </c>
      <c r="I13" s="14">
        <v>167877490</v>
      </c>
      <c r="J13" s="14">
        <f>Table1[[#This Row],[Population, total]]*Table1[[#This Row],[GDP per capita (current US$)]]</f>
        <v>128607482310.35692</v>
      </c>
    </row>
    <row r="14" spans="1:10" x14ac:dyDescent="0.3">
      <c r="A14" s="14" t="s">
        <v>15</v>
      </c>
      <c r="B14" s="14" t="s">
        <v>16</v>
      </c>
      <c r="C14" s="14">
        <v>2012</v>
      </c>
      <c r="D14" s="14">
        <v>59703860</v>
      </c>
      <c r="E14" s="14">
        <v>155070101</v>
      </c>
      <c r="F14" s="14">
        <v>859.68053637549701</v>
      </c>
      <c r="G14" s="14">
        <f t="shared" si="0"/>
        <v>0.38501206625253953</v>
      </c>
      <c r="H14" s="14">
        <v>0.17058234999999999</v>
      </c>
      <c r="I14" s="14">
        <v>172465250</v>
      </c>
      <c r="J14" s="14">
        <f>Table1[[#This Row],[Population, total]]*Table1[[#This Row],[GDP per capita (current US$)]]</f>
        <v>133310747603.4825</v>
      </c>
    </row>
    <row r="15" spans="1:10" x14ac:dyDescent="0.3">
      <c r="A15" s="14" t="s">
        <v>15</v>
      </c>
      <c r="B15" s="14" t="s">
        <v>16</v>
      </c>
      <c r="C15" s="14">
        <v>2013</v>
      </c>
      <c r="D15" s="14">
        <v>64762796</v>
      </c>
      <c r="E15" s="14">
        <v>156532141</v>
      </c>
      <c r="F15" s="14">
        <v>958.262989798283</v>
      </c>
      <c r="G15" s="14">
        <f t="shared" si="0"/>
        <v>0.41373481245618432</v>
      </c>
      <c r="H15" s="14">
        <v>0.18345542000000001</v>
      </c>
      <c r="I15" s="14">
        <v>176806000</v>
      </c>
      <c r="J15" s="14">
        <f>Table1[[#This Row],[Population, total]]*Table1[[#This Row],[GDP per capita (current US$)]]</f>
        <v>149998957434.1864</v>
      </c>
    </row>
    <row r="16" spans="1:10" x14ac:dyDescent="0.3">
      <c r="A16" s="14" t="s">
        <v>15</v>
      </c>
      <c r="B16" s="14" t="s">
        <v>16</v>
      </c>
      <c r="C16" s="14">
        <v>2014</v>
      </c>
      <c r="D16" s="14">
        <v>67551890</v>
      </c>
      <c r="E16" s="14">
        <v>157964929</v>
      </c>
      <c r="F16" s="14">
        <v>1094.46199702838</v>
      </c>
      <c r="G16" s="14">
        <f t="shared" si="0"/>
        <v>0.42763852981569095</v>
      </c>
      <c r="H16" s="14">
        <v>0.19055391999999999</v>
      </c>
      <c r="I16" s="14">
        <v>180450190</v>
      </c>
      <c r="J16" s="14">
        <f>Table1[[#This Row],[Population, total]]*Table1[[#This Row],[GDP per capita (current US$)]]</f>
        <v>172886611653.78625</v>
      </c>
    </row>
    <row r="17" spans="1:10" x14ac:dyDescent="0.3">
      <c r="A17" s="14" t="s">
        <v>15</v>
      </c>
      <c r="B17" s="14" t="s">
        <v>16</v>
      </c>
      <c r="C17" s="14">
        <v>2015</v>
      </c>
      <c r="D17" s="14">
        <v>76946130</v>
      </c>
      <c r="E17" s="14">
        <v>159383179</v>
      </c>
      <c r="F17" s="14">
        <v>1224.38647668165</v>
      </c>
      <c r="G17" s="14">
        <f t="shared" si="0"/>
        <v>0.4827744714515953</v>
      </c>
      <c r="H17" s="14">
        <v>0.21734105000000001</v>
      </c>
      <c r="I17" s="14">
        <v>193624060</v>
      </c>
      <c r="J17" s="14">
        <f>Table1[[#This Row],[Population, total]]*Table1[[#This Row],[GDP per capita (current US$)]]</f>
        <v>195146608978.13077</v>
      </c>
    </row>
    <row r="18" spans="1:10" x14ac:dyDescent="0.3">
      <c r="A18" s="14" t="s">
        <v>15</v>
      </c>
      <c r="B18" s="14" t="s">
        <v>16</v>
      </c>
      <c r="C18" s="14">
        <v>2016</v>
      </c>
      <c r="D18" s="14">
        <v>81761160</v>
      </c>
      <c r="E18" s="14">
        <v>160811932</v>
      </c>
      <c r="F18" s="14">
        <v>1649.2838085860101</v>
      </c>
      <c r="G18" s="14">
        <f t="shared" si="0"/>
        <v>0.50842719805144809</v>
      </c>
      <c r="H18" s="14">
        <v>0.23085623999999999</v>
      </c>
      <c r="I18" s="14">
        <v>195212640</v>
      </c>
      <c r="J18" s="14">
        <f>Table1[[#This Row],[Population, total]]*Table1[[#This Row],[GDP per capita (current US$)]]</f>
        <v>265224515675.03445</v>
      </c>
    </row>
    <row r="19" spans="1:10" x14ac:dyDescent="0.3">
      <c r="A19" s="14" t="s">
        <v>15</v>
      </c>
      <c r="B19" s="14" t="s">
        <v>16</v>
      </c>
      <c r="C19" s="14">
        <v>2017</v>
      </c>
      <c r="D19" s="14">
        <v>86530870</v>
      </c>
      <c r="E19" s="14">
        <v>162186147</v>
      </c>
      <c r="F19" s="14">
        <v>1811.08221668646</v>
      </c>
      <c r="G19" s="14">
        <f t="shared" si="0"/>
        <v>0.5335281193898761</v>
      </c>
      <c r="H19" s="14">
        <v>0.24042988000000001</v>
      </c>
      <c r="I19" s="14">
        <v>204846830</v>
      </c>
      <c r="J19" s="14">
        <f>Table1[[#This Row],[Population, total]]*Table1[[#This Row],[GDP per capita (current US$)]]</f>
        <v>293732446624.59607</v>
      </c>
    </row>
    <row r="20" spans="1:10" x14ac:dyDescent="0.3">
      <c r="A20" s="14" t="s">
        <v>15</v>
      </c>
      <c r="B20" s="14" t="s">
        <v>16</v>
      </c>
      <c r="C20" s="14">
        <v>2018</v>
      </c>
      <c r="D20" s="14">
        <v>86608110</v>
      </c>
      <c r="E20" s="14">
        <v>163523103</v>
      </c>
      <c r="F20" s="14">
        <v>1965.24372731467</v>
      </c>
      <c r="G20" s="14">
        <f t="shared" si="0"/>
        <v>0.52963837164953997</v>
      </c>
      <c r="H20" s="14">
        <v>0.23580253000000001</v>
      </c>
      <c r="I20" s="14">
        <v>208472980</v>
      </c>
      <c r="J20" s="14">
        <f>Table1[[#This Row],[Population, total]]*Table1[[#This Row],[GDP per capita (current US$)]]</f>
        <v>321362752441.7807</v>
      </c>
    </row>
    <row r="21" spans="1:10" x14ac:dyDescent="0.3">
      <c r="A21" s="14" t="s">
        <v>15</v>
      </c>
      <c r="B21" s="14" t="s">
        <v>16</v>
      </c>
      <c r="C21" s="14">
        <v>2019</v>
      </c>
      <c r="D21" s="14">
        <v>94807690</v>
      </c>
      <c r="E21" s="14">
        <v>164913055</v>
      </c>
      <c r="F21" s="14">
        <v>2129.7989695460601</v>
      </c>
      <c r="G21" s="14">
        <f t="shared" si="0"/>
        <v>0.57489499542652944</v>
      </c>
      <c r="H21" s="14">
        <v>0.25551807999999998</v>
      </c>
      <c r="I21" s="14">
        <v>217988830</v>
      </c>
      <c r="J21" s="14">
        <f>Table1[[#This Row],[Population, total]]*Table1[[#This Row],[GDP per capita (current US$)]]</f>
        <v>351231654603.69275</v>
      </c>
    </row>
    <row r="22" spans="1:10" x14ac:dyDescent="0.3">
      <c r="A22" s="14" t="s">
        <v>15</v>
      </c>
      <c r="B22" s="14" t="s">
        <v>16</v>
      </c>
      <c r="C22" s="14">
        <v>2020</v>
      </c>
      <c r="D22" s="14">
        <v>95729090</v>
      </c>
      <c r="E22" s="14">
        <v>166298024</v>
      </c>
      <c r="F22" s="14">
        <v>2248.8507882823301</v>
      </c>
      <c r="G22" s="14">
        <f t="shared" si="0"/>
        <v>0.57564779001823863</v>
      </c>
      <c r="H22" s="14">
        <v>0.27174421999999998</v>
      </c>
      <c r="I22" s="14">
        <v>219778350</v>
      </c>
      <c r="J22" s="14">
        <f>Table1[[#This Row],[Population, total]]*Table1[[#This Row],[GDP per capita (current US$)]]</f>
        <v>373979442362.19385</v>
      </c>
    </row>
    <row r="23" spans="1:10" x14ac:dyDescent="0.3">
      <c r="A23" s="15" t="s">
        <v>17</v>
      </c>
      <c r="B23" s="15" t="s">
        <v>18</v>
      </c>
      <c r="C23" s="15">
        <v>2000</v>
      </c>
      <c r="D23" s="15">
        <v>3643809500</v>
      </c>
      <c r="E23" s="15">
        <v>1262645000</v>
      </c>
      <c r="F23" s="15">
        <v>969.199513696287</v>
      </c>
      <c r="G23" s="15">
        <f t="shared" si="0"/>
        <v>2.885854297922219</v>
      </c>
      <c r="H23" s="15">
        <v>14.304771000000001</v>
      </c>
      <c r="I23" s="15">
        <v>5282097700</v>
      </c>
      <c r="J23" s="15">
        <f>Table1[[#This Row],[Population, total]]*Table1[[#This Row],[GDP per capita (current US$)]]</f>
        <v>1223754919971.0483</v>
      </c>
    </row>
    <row r="24" spans="1:10" x14ac:dyDescent="0.3">
      <c r="A24" s="15" t="s">
        <v>17</v>
      </c>
      <c r="B24" s="15" t="s">
        <v>18</v>
      </c>
      <c r="C24" s="15">
        <v>2001</v>
      </c>
      <c r="D24" s="15">
        <v>3724114200</v>
      </c>
      <c r="E24" s="15">
        <v>1271850000</v>
      </c>
      <c r="F24" s="15">
        <v>1065.4059757451901</v>
      </c>
      <c r="G24" s="15">
        <f t="shared" si="0"/>
        <v>2.928108031607501</v>
      </c>
      <c r="H24" s="15">
        <v>14.504269000000001</v>
      </c>
      <c r="I24" s="15">
        <v>5282241500</v>
      </c>
      <c r="J24" s="15">
        <f>Table1[[#This Row],[Population, total]]*Table1[[#This Row],[GDP per capita (current US$)]]</f>
        <v>1355036590251.52</v>
      </c>
    </row>
    <row r="25" spans="1:10" x14ac:dyDescent="0.3">
      <c r="A25" s="15" t="s">
        <v>17</v>
      </c>
      <c r="B25" s="15" t="s">
        <v>18</v>
      </c>
      <c r="C25" s="15">
        <v>2002</v>
      </c>
      <c r="D25" s="15">
        <v>4098180600</v>
      </c>
      <c r="E25" s="15">
        <v>1280400000</v>
      </c>
      <c r="F25" s="15">
        <v>1163.55957673426</v>
      </c>
      <c r="G25" s="15">
        <f t="shared" si="0"/>
        <v>3.2007033739456419</v>
      </c>
      <c r="H25" s="15">
        <v>15.61467</v>
      </c>
      <c r="I25" s="15">
        <v>5600191000</v>
      </c>
      <c r="J25" s="15">
        <f>Table1[[#This Row],[Population, total]]*Table1[[#This Row],[GDP per capita (current US$)]]</f>
        <v>1489821682050.5464</v>
      </c>
    </row>
    <row r="26" spans="1:10" x14ac:dyDescent="0.3">
      <c r="A26" s="15" t="s">
        <v>17</v>
      </c>
      <c r="B26" s="15" t="s">
        <v>18</v>
      </c>
      <c r="C26" s="15">
        <v>2003</v>
      </c>
      <c r="D26" s="15">
        <v>4835251700</v>
      </c>
      <c r="E26" s="15">
        <v>1288400000</v>
      </c>
      <c r="F26" s="15">
        <v>1306.97245408557</v>
      </c>
      <c r="G26" s="15">
        <f t="shared" si="0"/>
        <v>3.752911906240298</v>
      </c>
      <c r="H26" s="15">
        <v>17.496234999999999</v>
      </c>
      <c r="I26" s="15">
        <v>6373199000</v>
      </c>
      <c r="J26" s="15">
        <f>Table1[[#This Row],[Population, total]]*Table1[[#This Row],[GDP per capita (current US$)]]</f>
        <v>1683903309843.8484</v>
      </c>
    </row>
    <row r="27" spans="1:10" x14ac:dyDescent="0.3">
      <c r="A27" s="15" t="s">
        <v>17</v>
      </c>
      <c r="B27" s="15" t="s">
        <v>18</v>
      </c>
      <c r="C27" s="15">
        <v>2004</v>
      </c>
      <c r="D27" s="15">
        <v>5210961400</v>
      </c>
      <c r="E27" s="15">
        <v>1296075000</v>
      </c>
      <c r="F27" s="15">
        <v>1530.92726215723</v>
      </c>
      <c r="G27" s="15">
        <f t="shared" si="0"/>
        <v>4.0205708774569375</v>
      </c>
      <c r="H27" s="15">
        <v>18.221775000000001</v>
      </c>
      <c r="I27" s="15">
        <v>6840591000</v>
      </c>
      <c r="J27" s="15">
        <f>Table1[[#This Row],[Population, total]]*Table1[[#This Row],[GDP per capita (current US$)]]</f>
        <v>1984196551300.4319</v>
      </c>
    </row>
    <row r="28" spans="1:10" x14ac:dyDescent="0.3">
      <c r="A28" s="15" t="s">
        <v>17</v>
      </c>
      <c r="B28" s="15" t="s">
        <v>18</v>
      </c>
      <c r="C28" s="15">
        <v>2005</v>
      </c>
      <c r="D28" s="15">
        <v>5881990700</v>
      </c>
      <c r="E28" s="15">
        <v>1303720000</v>
      </c>
      <c r="F28" s="15">
        <v>1777.6449682846401</v>
      </c>
      <c r="G28" s="15">
        <f t="shared" si="0"/>
        <v>4.5116978338907128</v>
      </c>
      <c r="H28" s="15">
        <v>19.862321999999999</v>
      </c>
      <c r="I28" s="15">
        <v>7551543000</v>
      </c>
      <c r="J28" s="15">
        <f>Table1[[#This Row],[Population, total]]*Table1[[#This Row],[GDP per capita (current US$)]]</f>
        <v>2317551298052.0508</v>
      </c>
    </row>
    <row r="29" spans="1:10" x14ac:dyDescent="0.3">
      <c r="A29" s="15" t="s">
        <v>17</v>
      </c>
      <c r="B29" s="15" t="s">
        <v>18</v>
      </c>
      <c r="C29" s="15">
        <v>2006</v>
      </c>
      <c r="D29" s="15">
        <v>6486184400</v>
      </c>
      <c r="E29" s="15">
        <v>1311020000</v>
      </c>
      <c r="F29" s="15">
        <v>2129.25696999613</v>
      </c>
      <c r="G29" s="15">
        <f t="shared" si="0"/>
        <v>4.9474336013180578</v>
      </c>
      <c r="H29" s="15">
        <v>21.203624999999999</v>
      </c>
      <c r="I29" s="15">
        <v>8215579000</v>
      </c>
      <c r="J29" s="15">
        <f>Table1[[#This Row],[Population, total]]*Table1[[#This Row],[GDP per capita (current US$)]]</f>
        <v>2791498472804.3262</v>
      </c>
    </row>
    <row r="30" spans="1:10" x14ac:dyDescent="0.3">
      <c r="A30" s="15" t="s">
        <v>17</v>
      </c>
      <c r="B30" s="15" t="s">
        <v>18</v>
      </c>
      <c r="C30" s="15">
        <v>2007</v>
      </c>
      <c r="D30" s="15">
        <v>6974663000</v>
      </c>
      <c r="E30" s="15">
        <v>1317885000</v>
      </c>
      <c r="F30" s="15">
        <v>2734.7270987769298</v>
      </c>
      <c r="G30" s="15">
        <f t="shared" si="0"/>
        <v>5.2923153385917585</v>
      </c>
      <c r="H30" s="15">
        <v>22.145636</v>
      </c>
      <c r="I30" s="15">
        <v>8701731000</v>
      </c>
      <c r="J30" s="15">
        <f>Table1[[#This Row],[Population, total]]*Table1[[#This Row],[GDP per capita (current US$)]]</f>
        <v>3604055822571.6343</v>
      </c>
    </row>
    <row r="31" spans="1:10" x14ac:dyDescent="0.3">
      <c r="A31" s="15" t="s">
        <v>17</v>
      </c>
      <c r="B31" s="15" t="s">
        <v>18</v>
      </c>
      <c r="C31" s="15">
        <v>2008</v>
      </c>
      <c r="D31" s="15">
        <v>7492404000</v>
      </c>
      <c r="E31" s="15">
        <v>1324655000</v>
      </c>
      <c r="F31" s="15">
        <v>3523.4430206521301</v>
      </c>
      <c r="G31" s="15">
        <f t="shared" si="0"/>
        <v>5.6561172531715806</v>
      </c>
      <c r="H31" s="15">
        <v>23.38795</v>
      </c>
      <c r="I31" s="15">
        <v>9244500000</v>
      </c>
      <c r="J31" s="15">
        <f>Table1[[#This Row],[Population, total]]*Table1[[#This Row],[GDP per capita (current US$)]]</f>
        <v>4667346414521.9473</v>
      </c>
    </row>
    <row r="32" spans="1:10" x14ac:dyDescent="0.3">
      <c r="A32" s="15" t="s">
        <v>17</v>
      </c>
      <c r="B32" s="15" t="s">
        <v>18</v>
      </c>
      <c r="C32" s="15">
        <v>2009</v>
      </c>
      <c r="D32" s="15">
        <v>7881491000</v>
      </c>
      <c r="E32" s="15">
        <v>1331260000</v>
      </c>
      <c r="F32" s="15">
        <v>3898.2445915881099</v>
      </c>
      <c r="G32" s="15">
        <f t="shared" si="0"/>
        <v>5.9203243543710471</v>
      </c>
      <c r="H32" s="15">
        <v>25.017748000000001</v>
      </c>
      <c r="I32" s="15">
        <v>9644707000</v>
      </c>
      <c r="J32" s="15">
        <f>Table1[[#This Row],[Population, total]]*Table1[[#This Row],[GDP per capita (current US$)]]</f>
        <v>5189577094997.5869</v>
      </c>
    </row>
    <row r="33" spans="1:10" x14ac:dyDescent="0.3">
      <c r="A33" s="15" t="s">
        <v>17</v>
      </c>
      <c r="B33" s="15" t="s">
        <v>18</v>
      </c>
      <c r="C33" s="15">
        <v>2010</v>
      </c>
      <c r="D33" s="15">
        <v>8610048000</v>
      </c>
      <c r="E33" s="15">
        <v>1337705000</v>
      </c>
      <c r="F33" s="15">
        <v>4629.2455171007696</v>
      </c>
      <c r="G33" s="15">
        <f t="shared" si="0"/>
        <v>6.4364325467872217</v>
      </c>
      <c r="H33" s="15">
        <v>25.844228999999999</v>
      </c>
      <c r="I33" s="15">
        <v>10308954000</v>
      </c>
      <c r="J33" s="15">
        <f>Table1[[#This Row],[Population, total]]*Table1[[#This Row],[GDP per capita (current US$)]]</f>
        <v>6192564874453.2852</v>
      </c>
    </row>
    <row r="34" spans="1:10" x14ac:dyDescent="0.3">
      <c r="A34" s="15" t="s">
        <v>17</v>
      </c>
      <c r="B34" s="15" t="s">
        <v>18</v>
      </c>
      <c r="C34" s="15">
        <v>2011</v>
      </c>
      <c r="D34" s="15">
        <v>9520154000</v>
      </c>
      <c r="E34" s="15">
        <v>1345035000</v>
      </c>
      <c r="F34" s="15">
        <v>5703.7602797334603</v>
      </c>
      <c r="G34" s="15">
        <f t="shared" si="0"/>
        <v>7.0779972268379634</v>
      </c>
      <c r="H34" s="15">
        <v>27.626311999999999</v>
      </c>
      <c r="I34" s="15">
        <v>11352634000</v>
      </c>
      <c r="J34" s="15">
        <f>Table1[[#This Row],[Population, total]]*Table1[[#This Row],[GDP per capita (current US$)]]</f>
        <v>7671757207851.2949</v>
      </c>
    </row>
    <row r="35" spans="1:10" x14ac:dyDescent="0.3">
      <c r="A35" s="15" t="s">
        <v>17</v>
      </c>
      <c r="B35" s="15" t="s">
        <v>18</v>
      </c>
      <c r="C35" s="15">
        <v>2012</v>
      </c>
      <c r="D35" s="15">
        <v>9767310000</v>
      </c>
      <c r="E35" s="15">
        <v>1354190000</v>
      </c>
      <c r="F35" s="15">
        <v>6405.0574241349004</v>
      </c>
      <c r="G35" s="15">
        <f t="shared" si="0"/>
        <v>7.2126584895767953</v>
      </c>
      <c r="H35" s="15">
        <v>27.940819000000001</v>
      </c>
      <c r="I35" s="15">
        <v>11526329000</v>
      </c>
      <c r="J35" s="15">
        <f>Table1[[#This Row],[Population, total]]*Table1[[#This Row],[GDP per capita (current US$)]]</f>
        <v>8673664713189.2412</v>
      </c>
    </row>
    <row r="36" spans="1:10" x14ac:dyDescent="0.3">
      <c r="A36" s="15" t="s">
        <v>17</v>
      </c>
      <c r="B36" s="15" t="s">
        <v>18</v>
      </c>
      <c r="C36" s="15">
        <v>2013</v>
      </c>
      <c r="D36" s="15">
        <v>9942371000</v>
      </c>
      <c r="E36" s="15">
        <v>1363240000</v>
      </c>
      <c r="F36" s="15">
        <v>7147.0351862234402</v>
      </c>
      <c r="G36" s="15">
        <f t="shared" si="0"/>
        <v>7.2931919544614301</v>
      </c>
      <c r="H36" s="15">
        <v>28.203576999999999</v>
      </c>
      <c r="I36" s="15">
        <v>11692455000</v>
      </c>
      <c r="J36" s="15">
        <f>Table1[[#This Row],[Population, total]]*Table1[[#This Row],[GDP per capita (current US$)]]</f>
        <v>9743124247267.2422</v>
      </c>
    </row>
    <row r="37" spans="1:10" x14ac:dyDescent="0.3">
      <c r="A37" s="15" t="s">
        <v>17</v>
      </c>
      <c r="B37" s="15" t="s">
        <v>18</v>
      </c>
      <c r="C37" s="15">
        <v>2014</v>
      </c>
      <c r="D37" s="15">
        <v>9976027000</v>
      </c>
      <c r="E37" s="15">
        <v>1371860000</v>
      </c>
      <c r="F37" s="15">
        <v>7781.0659748497401</v>
      </c>
      <c r="G37" s="15">
        <f t="shared" si="0"/>
        <v>7.2718987360226262</v>
      </c>
      <c r="H37" s="15">
        <v>28.181187000000001</v>
      </c>
      <c r="I37" s="15">
        <v>11689330000</v>
      </c>
      <c r="J37" s="15">
        <f>Table1[[#This Row],[Population, total]]*Table1[[#This Row],[GDP per capita (current US$)]]</f>
        <v>10674533168257.365</v>
      </c>
    </row>
    <row r="38" spans="1:10" x14ac:dyDescent="0.3">
      <c r="A38" s="15" t="s">
        <v>17</v>
      </c>
      <c r="B38" s="15" t="s">
        <v>18</v>
      </c>
      <c r="C38" s="15">
        <v>2015</v>
      </c>
      <c r="D38" s="15">
        <v>9858040000</v>
      </c>
      <c r="E38" s="15">
        <v>1379860000</v>
      </c>
      <c r="F38" s="15">
        <v>8175.3328507739297</v>
      </c>
      <c r="G38" s="15">
        <f t="shared" si="0"/>
        <v>7.1442320235386196</v>
      </c>
      <c r="H38" s="15">
        <v>27.859017999999999</v>
      </c>
      <c r="I38" s="15">
        <v>11642968000</v>
      </c>
      <c r="J38" s="15">
        <f>Table1[[#This Row],[Population, total]]*Table1[[#This Row],[GDP per capita (current US$)]]</f>
        <v>11280814787468.914</v>
      </c>
    </row>
    <row r="39" spans="1:10" x14ac:dyDescent="0.3">
      <c r="A39" s="15" t="s">
        <v>17</v>
      </c>
      <c r="B39" s="15" t="s">
        <v>18</v>
      </c>
      <c r="C39" s="15">
        <v>2016</v>
      </c>
      <c r="D39" s="15">
        <v>9748175000</v>
      </c>
      <c r="E39" s="15">
        <v>1387790000</v>
      </c>
      <c r="F39" s="15">
        <v>8254.8685932035696</v>
      </c>
      <c r="G39" s="15">
        <f t="shared" si="0"/>
        <v>7.0242435815217004</v>
      </c>
      <c r="H39" s="15">
        <v>27.565317</v>
      </c>
      <c r="I39" s="15">
        <v>11382781000</v>
      </c>
      <c r="J39" s="15">
        <f>Table1[[#This Row],[Population, total]]*Table1[[#This Row],[GDP per capita (current US$)]]</f>
        <v>11456024084961.982</v>
      </c>
    </row>
    <row r="40" spans="1:10" x14ac:dyDescent="0.3">
      <c r="A40" s="15" t="s">
        <v>17</v>
      </c>
      <c r="B40" s="15" t="s">
        <v>18</v>
      </c>
      <c r="C40" s="15">
        <v>2017</v>
      </c>
      <c r="D40" s="15">
        <v>10000013000</v>
      </c>
      <c r="E40" s="15">
        <v>1396215000</v>
      </c>
      <c r="F40" s="15">
        <v>8979.6765270985597</v>
      </c>
      <c r="G40" s="15">
        <f t="shared" si="0"/>
        <v>7.1622300290428047</v>
      </c>
      <c r="H40" s="15">
        <v>27.803197999999998</v>
      </c>
      <c r="I40" s="15">
        <v>11622925000</v>
      </c>
      <c r="J40" s="15">
        <f>Table1[[#This Row],[Population, total]]*Table1[[#This Row],[GDP per capita (current US$)]]</f>
        <v>12537559062282.916</v>
      </c>
    </row>
    <row r="41" spans="1:10" x14ac:dyDescent="0.3">
      <c r="A41" s="15" t="s">
        <v>17</v>
      </c>
      <c r="B41" s="15" t="s">
        <v>18</v>
      </c>
      <c r="C41" s="15">
        <v>2018</v>
      </c>
      <c r="D41" s="15">
        <v>10346790000</v>
      </c>
      <c r="E41" s="15">
        <v>1402760000</v>
      </c>
      <c r="F41" s="15">
        <v>10085.6638148819</v>
      </c>
      <c r="G41" s="15">
        <f t="shared" si="0"/>
        <v>7.3760229832615698</v>
      </c>
      <c r="H41" s="15">
        <v>28.131969999999999</v>
      </c>
      <c r="I41" s="15">
        <v>11989895000</v>
      </c>
      <c r="J41" s="15">
        <f>Table1[[#This Row],[Population, total]]*Table1[[#This Row],[GDP per capita (current US$)]]</f>
        <v>14147765772963.734</v>
      </c>
    </row>
    <row r="42" spans="1:10" x14ac:dyDescent="0.3">
      <c r="A42" s="15" t="s">
        <v>17</v>
      </c>
      <c r="B42" s="15" t="s">
        <v>18</v>
      </c>
      <c r="C42" s="15">
        <v>2019</v>
      </c>
      <c r="D42" s="15">
        <v>10713515000</v>
      </c>
      <c r="E42" s="15">
        <v>1407745000</v>
      </c>
      <c r="F42" s="15">
        <v>10342.9009524335</v>
      </c>
      <c r="G42" s="15">
        <f t="shared" si="0"/>
        <v>7.6104088453519632</v>
      </c>
      <c r="H42" s="15">
        <v>28.875336000000001</v>
      </c>
      <c r="I42" s="15">
        <v>12322384000</v>
      </c>
      <c r="J42" s="15">
        <f>Table1[[#This Row],[Population, total]]*Table1[[#This Row],[GDP per capita (current US$)]]</f>
        <v>14560167101283.496</v>
      </c>
    </row>
    <row r="43" spans="1:10" x14ac:dyDescent="0.3">
      <c r="A43" s="15" t="s">
        <v>17</v>
      </c>
      <c r="B43" s="15" t="s">
        <v>18</v>
      </c>
      <c r="C43" s="15">
        <v>2020</v>
      </c>
      <c r="D43" s="15">
        <v>10896520000</v>
      </c>
      <c r="E43" s="15">
        <v>1411100000</v>
      </c>
      <c r="F43" s="15">
        <v>10627.4637989619</v>
      </c>
      <c r="G43" s="15">
        <f t="shared" si="0"/>
        <v>7.7220041102685846</v>
      </c>
      <c r="H43" s="15">
        <v>31.046887999999999</v>
      </c>
      <c r="I43" s="15">
        <v>12524050000</v>
      </c>
      <c r="J43" s="15">
        <f>Table1[[#This Row],[Population, total]]*Table1[[#This Row],[GDP per capita (current US$)]]</f>
        <v>14996414166715.139</v>
      </c>
    </row>
    <row r="44" spans="1:10" x14ac:dyDescent="0.3">
      <c r="A44" s="16" t="s">
        <v>19</v>
      </c>
      <c r="B44" s="16" t="s">
        <v>20</v>
      </c>
      <c r="C44" s="16">
        <v>2000</v>
      </c>
      <c r="D44" s="16">
        <v>987065100</v>
      </c>
      <c r="E44" s="16">
        <v>1057922733</v>
      </c>
      <c r="F44" s="16">
        <v>442.75021893726301</v>
      </c>
      <c r="G44" s="16">
        <f t="shared" si="0"/>
        <v>0.93302192042034515</v>
      </c>
      <c r="H44" s="16">
        <v>3.8668100000000001</v>
      </c>
      <c r="I44" s="16">
        <v>2005885200</v>
      </c>
      <c r="J44" s="16">
        <f>Table1[[#This Row],[Population, total]]*Table1[[#This Row],[GDP per capita (current US$)]]</f>
        <v>468395521654.45764</v>
      </c>
    </row>
    <row r="45" spans="1:10" x14ac:dyDescent="0.3">
      <c r="A45" s="16" t="s">
        <v>19</v>
      </c>
      <c r="B45" s="16" t="s">
        <v>20</v>
      </c>
      <c r="C45" s="16">
        <v>2001</v>
      </c>
      <c r="D45" s="16">
        <v>1001198400</v>
      </c>
      <c r="E45" s="16">
        <v>1077898575</v>
      </c>
      <c r="F45" s="16">
        <v>450.357900514128</v>
      </c>
      <c r="G45" s="16">
        <f t="shared" si="0"/>
        <v>0.92884286445967335</v>
      </c>
      <c r="H45" s="16">
        <v>3.892147</v>
      </c>
      <c r="I45" s="16">
        <v>2000273400</v>
      </c>
      <c r="J45" s="16">
        <f>Table1[[#This Row],[Population, total]]*Table1[[#This Row],[GDP per capita (current US$)]]</f>
        <v>485440139204.17035</v>
      </c>
    </row>
    <row r="46" spans="1:10" x14ac:dyDescent="0.3">
      <c r="A46" s="16" t="s">
        <v>19</v>
      </c>
      <c r="B46" s="16" t="s">
        <v>20</v>
      </c>
      <c r="C46" s="16">
        <v>2002</v>
      </c>
      <c r="D46" s="16">
        <v>1032750340</v>
      </c>
      <c r="E46" s="16">
        <v>1097600380</v>
      </c>
      <c r="F46" s="16">
        <v>469.14992897392699</v>
      </c>
      <c r="G46" s="16">
        <f t="shared" si="0"/>
        <v>0.94091652920163893</v>
      </c>
      <c r="H46" s="16">
        <v>3.9279400999999998</v>
      </c>
      <c r="I46" s="16">
        <v>1994044800</v>
      </c>
      <c r="J46" s="16">
        <f>Table1[[#This Row],[Population, total]]*Table1[[#This Row],[GDP per capita (current US$)]]</f>
        <v>514939140318.75525</v>
      </c>
    </row>
    <row r="47" spans="1:10" x14ac:dyDescent="0.3">
      <c r="A47" s="16" t="s">
        <v>19</v>
      </c>
      <c r="B47" s="16" t="s">
        <v>20</v>
      </c>
      <c r="C47" s="16">
        <v>2003</v>
      </c>
      <c r="D47" s="16">
        <v>1068397950</v>
      </c>
      <c r="E47" s="16">
        <v>1116803006</v>
      </c>
      <c r="F47" s="16">
        <v>544.143133545002</v>
      </c>
      <c r="G47" s="16">
        <f t="shared" si="0"/>
        <v>0.95665748055839317</v>
      </c>
      <c r="H47" s="16">
        <v>3.8588963000000001</v>
      </c>
      <c r="I47" s="16">
        <v>2059555700</v>
      </c>
      <c r="J47" s="16">
        <f>Table1[[#This Row],[Population, total]]*Table1[[#This Row],[GDP per capita (current US$)]]</f>
        <v>607700687237.31763</v>
      </c>
    </row>
    <row r="48" spans="1:10" x14ac:dyDescent="0.3">
      <c r="A48" s="16" t="s">
        <v>19</v>
      </c>
      <c r="B48" s="16" t="s">
        <v>20</v>
      </c>
      <c r="C48" s="16">
        <v>2004</v>
      </c>
      <c r="D48" s="16">
        <v>1134611000</v>
      </c>
      <c r="E48" s="16">
        <v>1135991513</v>
      </c>
      <c r="F48" s="16">
        <v>624.258826510066</v>
      </c>
      <c r="G48" s="16">
        <f t="shared" si="0"/>
        <v>0.99878475060403027</v>
      </c>
      <c r="H48" s="16">
        <v>3.9599313999999999</v>
      </c>
      <c r="I48" s="16">
        <v>2129202000</v>
      </c>
      <c r="J48" s="16">
        <f>Table1[[#This Row],[Population, total]]*Table1[[#This Row],[GDP per capita (current US$)]]</f>
        <v>709152728830.77441</v>
      </c>
    </row>
    <row r="49" spans="1:10" x14ac:dyDescent="0.3">
      <c r="A49" s="16" t="s">
        <v>19</v>
      </c>
      <c r="B49" s="16" t="s">
        <v>20</v>
      </c>
      <c r="C49" s="16">
        <v>2005</v>
      </c>
      <c r="D49" s="16">
        <v>1195393300</v>
      </c>
      <c r="E49" s="16">
        <v>1154676322</v>
      </c>
      <c r="F49" s="16">
        <v>710.48808040894903</v>
      </c>
      <c r="G49" s="16">
        <f t="shared" si="0"/>
        <v>1.0352626768421773</v>
      </c>
      <c r="H49" s="16">
        <v>4.0338234999999996</v>
      </c>
      <c r="I49" s="16">
        <v>2205412900</v>
      </c>
      <c r="J49" s="16">
        <f>Table1[[#This Row],[Population, total]]*Table1[[#This Row],[GDP per capita (current US$)]]</f>
        <v>820383763511.44556</v>
      </c>
    </row>
    <row r="50" spans="1:10" x14ac:dyDescent="0.3">
      <c r="A50" s="16" t="s">
        <v>19</v>
      </c>
      <c r="B50" s="16" t="s">
        <v>20</v>
      </c>
      <c r="C50" s="16">
        <v>2006</v>
      </c>
      <c r="D50" s="16">
        <v>1293321500</v>
      </c>
      <c r="E50" s="16">
        <v>1172878890</v>
      </c>
      <c r="F50" s="16">
        <v>801.66835365902205</v>
      </c>
      <c r="G50" s="16">
        <f t="shared" si="0"/>
        <v>1.1026897244267053</v>
      </c>
      <c r="H50" s="16">
        <v>4.2198896000000001</v>
      </c>
      <c r="I50" s="16">
        <v>2324594400</v>
      </c>
      <c r="J50" s="16">
        <f>Table1[[#This Row],[Population, total]]*Table1[[#This Row],[GDP per capita (current US$)]]</f>
        <v>940259888787.72119</v>
      </c>
    </row>
    <row r="51" spans="1:10" x14ac:dyDescent="0.3">
      <c r="A51" s="16" t="s">
        <v>19</v>
      </c>
      <c r="B51" s="16" t="s">
        <v>20</v>
      </c>
      <c r="C51" s="16">
        <v>2007</v>
      </c>
      <c r="D51" s="16">
        <v>1393485200</v>
      </c>
      <c r="E51" s="16">
        <v>1190676021</v>
      </c>
      <c r="F51" s="16">
        <v>1021.8870770682601</v>
      </c>
      <c r="G51" s="16">
        <f t="shared" si="0"/>
        <v>1.1703311189803494</v>
      </c>
      <c r="H51" s="16">
        <v>4.4157970000000004</v>
      </c>
      <c r="I51" s="16">
        <v>2485674000</v>
      </c>
      <c r="J51" s="16">
        <f>Table1[[#This Row],[Population, total]]*Table1[[#This Row],[GDP per capita (current US$)]]</f>
        <v>1216736438834.9563</v>
      </c>
    </row>
    <row r="52" spans="1:10" x14ac:dyDescent="0.3">
      <c r="A52" s="16" t="s">
        <v>19</v>
      </c>
      <c r="B52" s="16" t="s">
        <v>20</v>
      </c>
      <c r="C52" s="16">
        <v>2008</v>
      </c>
      <c r="D52" s="16">
        <v>1490366500</v>
      </c>
      <c r="E52" s="16">
        <v>1207930964</v>
      </c>
      <c r="F52" s="16">
        <v>992.51958492382801</v>
      </c>
      <c r="G52" s="16">
        <f t="shared" si="0"/>
        <v>1.2338176141000059</v>
      </c>
      <c r="H52" s="16">
        <v>4.6437244</v>
      </c>
      <c r="I52" s="16">
        <v>2641331200</v>
      </c>
      <c r="J52" s="16">
        <f>Table1[[#This Row],[Population, total]]*Table1[[#This Row],[GDP per capita (current US$)]]</f>
        <v>1198895139005.9194</v>
      </c>
    </row>
    <row r="53" spans="1:10" x14ac:dyDescent="0.3">
      <c r="A53" s="16" t="s">
        <v>19</v>
      </c>
      <c r="B53" s="16" t="s">
        <v>20</v>
      </c>
      <c r="C53" s="16">
        <v>2009</v>
      </c>
      <c r="D53" s="16">
        <v>1613327600</v>
      </c>
      <c r="E53" s="16">
        <v>1225524753</v>
      </c>
      <c r="F53" s="16">
        <v>1094.9497459843601</v>
      </c>
      <c r="G53" s="16">
        <f t="shared" si="0"/>
        <v>1.3164382000858696</v>
      </c>
      <c r="H53" s="16">
        <v>5.111345</v>
      </c>
      <c r="I53" s="16">
        <v>2738049800</v>
      </c>
      <c r="J53" s="16">
        <f>Table1[[#This Row],[Population, total]]*Table1[[#This Row],[GDP per capita (current US$)]]</f>
        <v>1341888016994.8958</v>
      </c>
    </row>
    <row r="54" spans="1:10" x14ac:dyDescent="0.3">
      <c r="A54" s="16" t="s">
        <v>19</v>
      </c>
      <c r="B54" s="16" t="s">
        <v>20</v>
      </c>
      <c r="C54" s="16">
        <v>2010</v>
      </c>
      <c r="D54" s="16">
        <v>1678529500</v>
      </c>
      <c r="E54" s="16">
        <v>1243481564</v>
      </c>
      <c r="F54" s="16">
        <v>1347.51939071367</v>
      </c>
      <c r="G54" s="16">
        <f t="shared" si="0"/>
        <v>1.3498627953924374</v>
      </c>
      <c r="H54" s="16">
        <v>5.028607</v>
      </c>
      <c r="I54" s="16">
        <v>2848131000</v>
      </c>
      <c r="J54" s="16">
        <f>Table1[[#This Row],[Population, total]]*Table1[[#This Row],[GDP per capita (current US$)]]</f>
        <v>1675615519484.9614</v>
      </c>
    </row>
    <row r="55" spans="1:10" x14ac:dyDescent="0.3">
      <c r="A55" s="16" t="s">
        <v>19</v>
      </c>
      <c r="B55" s="16" t="s">
        <v>20</v>
      </c>
      <c r="C55" s="16">
        <v>2011</v>
      </c>
      <c r="D55" s="16">
        <v>1765694800</v>
      </c>
      <c r="E55" s="16">
        <v>1261224954</v>
      </c>
      <c r="F55" s="16">
        <v>1445.4612748603699</v>
      </c>
      <c r="G55" s="16">
        <f t="shared" si="0"/>
        <v>1.399984034886135</v>
      </c>
      <c r="H55" s="16">
        <v>5.1144356999999996</v>
      </c>
      <c r="I55" s="16">
        <v>2950343000</v>
      </c>
      <c r="J55" s="16">
        <f>Table1[[#This Row],[Population, total]]*Table1[[#This Row],[GDP per capita (current US$)]]</f>
        <v>1823051829894.5515</v>
      </c>
    </row>
    <row r="56" spans="1:10" x14ac:dyDescent="0.3">
      <c r="A56" s="16" t="s">
        <v>19</v>
      </c>
      <c r="B56" s="16" t="s">
        <v>20</v>
      </c>
      <c r="C56" s="16">
        <v>2012</v>
      </c>
      <c r="D56" s="16">
        <v>1926986400</v>
      </c>
      <c r="E56" s="16">
        <v>1278674502</v>
      </c>
      <c r="F56" s="16">
        <v>1429.3219952003201</v>
      </c>
      <c r="G56" s="16">
        <f t="shared" si="0"/>
        <v>1.5070187111621938</v>
      </c>
      <c r="H56" s="16">
        <v>5.5019955999999999</v>
      </c>
      <c r="I56" s="16">
        <v>3164009700</v>
      </c>
      <c r="J56" s="16">
        <f>Table1[[#This Row],[Population, total]]*Table1[[#This Row],[GDP per capita (current US$)]]</f>
        <v>1827637590410.4158</v>
      </c>
    </row>
    <row r="57" spans="1:10" x14ac:dyDescent="0.3">
      <c r="A57" s="16" t="s">
        <v>19</v>
      </c>
      <c r="B57" s="16" t="s">
        <v>20</v>
      </c>
      <c r="C57" s="16">
        <v>2013</v>
      </c>
      <c r="D57" s="16">
        <v>1995337200</v>
      </c>
      <c r="E57" s="16">
        <v>1295829511</v>
      </c>
      <c r="F57" s="16">
        <v>1432.8439751219501</v>
      </c>
      <c r="G57" s="16">
        <f t="shared" si="0"/>
        <v>1.5398145998852777</v>
      </c>
      <c r="H57" s="16">
        <v>5.6515709999999997</v>
      </c>
      <c r="I57" s="16">
        <v>3124772400</v>
      </c>
      <c r="J57" s="16">
        <f>Table1[[#This Row],[Population, total]]*Table1[[#This Row],[GDP per capita (current US$)]]</f>
        <v>1856721507621.5728</v>
      </c>
    </row>
    <row r="58" spans="1:10" x14ac:dyDescent="0.3">
      <c r="A58" s="16" t="s">
        <v>19</v>
      </c>
      <c r="B58" s="16" t="s">
        <v>20</v>
      </c>
      <c r="C58" s="16">
        <v>2014</v>
      </c>
      <c r="D58" s="16">
        <v>2148052000</v>
      </c>
      <c r="E58" s="16">
        <v>1312277191</v>
      </c>
      <c r="F58" s="16">
        <v>1553.88396075118</v>
      </c>
      <c r="G58" s="16">
        <f t="shared" si="0"/>
        <v>1.6368889246357403</v>
      </c>
      <c r="H58" s="16">
        <v>6.0601919999999998</v>
      </c>
      <c r="I58" s="16">
        <v>3216867000</v>
      </c>
      <c r="J58" s="16">
        <f>Table1[[#This Row],[Population, total]]*Table1[[#This Row],[GDP per capita (current US$)]]</f>
        <v>2039126479154.5127</v>
      </c>
    </row>
    <row r="59" spans="1:10" x14ac:dyDescent="0.3">
      <c r="A59" s="16" t="s">
        <v>19</v>
      </c>
      <c r="B59" s="16" t="s">
        <v>20</v>
      </c>
      <c r="C59" s="16">
        <v>2015</v>
      </c>
      <c r="D59" s="16">
        <v>2231817500</v>
      </c>
      <c r="E59" s="16">
        <v>1328024498</v>
      </c>
      <c r="F59" s="16">
        <v>1583.99815907985</v>
      </c>
      <c r="G59" s="16">
        <f t="shared" si="0"/>
        <v>1.6805544651933071</v>
      </c>
      <c r="H59" s="16">
        <v>6.3104814999999999</v>
      </c>
      <c r="I59" s="16">
        <v>3290423000</v>
      </c>
      <c r="J59" s="16">
        <f>Table1[[#This Row],[Population, total]]*Table1[[#This Row],[GDP per capita (current US$)]]</f>
        <v>2103588360044.9419</v>
      </c>
    </row>
    <row r="60" spans="1:10" x14ac:dyDescent="0.3">
      <c r="A60" s="16" t="s">
        <v>19</v>
      </c>
      <c r="B60" s="16" t="s">
        <v>20</v>
      </c>
      <c r="C60" s="16">
        <v>2016</v>
      </c>
      <c r="D60" s="16">
        <v>2352540200</v>
      </c>
      <c r="E60" s="16">
        <v>1343944296</v>
      </c>
      <c r="F60" s="16">
        <v>1707.5089291224299</v>
      </c>
      <c r="G60" s="16">
        <f t="shared" si="0"/>
        <v>1.7504744854395364</v>
      </c>
      <c r="H60" s="16">
        <v>6.6484480000000001</v>
      </c>
      <c r="I60" s="16">
        <v>3365011000</v>
      </c>
      <c r="J60" s="16">
        <f>Table1[[#This Row],[Population, total]]*Table1[[#This Row],[GDP per capita (current US$)]]</f>
        <v>2294796885663.1577</v>
      </c>
    </row>
    <row r="61" spans="1:10" x14ac:dyDescent="0.3">
      <c r="A61" s="16" t="s">
        <v>19</v>
      </c>
      <c r="B61" s="16" t="s">
        <v>20</v>
      </c>
      <c r="C61" s="16">
        <v>2017</v>
      </c>
      <c r="D61" s="16">
        <v>2425721900</v>
      </c>
      <c r="E61" s="16">
        <v>1359657400</v>
      </c>
      <c r="F61" s="16">
        <v>1950.1046828086601</v>
      </c>
      <c r="G61" s="16">
        <f t="shared" si="0"/>
        <v>1.7840684719547732</v>
      </c>
      <c r="H61" s="16">
        <v>6.7424670000000004</v>
      </c>
      <c r="I61" s="16">
        <v>3415988500</v>
      </c>
      <c r="J61" s="16">
        <f>Table1[[#This Row],[Population, total]]*Table1[[#This Row],[GDP per capita (current US$)]]</f>
        <v>2651474262755.4473</v>
      </c>
    </row>
    <row r="62" spans="1:10" x14ac:dyDescent="0.3">
      <c r="A62" s="16" t="s">
        <v>19</v>
      </c>
      <c r="B62" s="16" t="s">
        <v>20</v>
      </c>
      <c r="C62" s="16">
        <v>2018</v>
      </c>
      <c r="D62" s="16">
        <v>2595227100</v>
      </c>
      <c r="E62" s="16">
        <v>1374659064</v>
      </c>
      <c r="F62" s="16">
        <v>1966.25455171679</v>
      </c>
      <c r="G62" s="16">
        <f t="shared" si="0"/>
        <v>1.8879060037245716</v>
      </c>
      <c r="H62" s="16">
        <v>7.0597000000000003</v>
      </c>
      <c r="I62" s="16">
        <v>3616201500</v>
      </c>
      <c r="J62" s="16">
        <f>Table1[[#This Row],[Population, total]]*Table1[[#This Row],[GDP per capita (current US$)]]</f>
        <v>2702929641648.7422</v>
      </c>
    </row>
    <row r="63" spans="1:10" x14ac:dyDescent="0.3">
      <c r="A63" s="16" t="s">
        <v>19</v>
      </c>
      <c r="B63" s="16" t="s">
        <v>20</v>
      </c>
      <c r="C63" s="16">
        <v>2019</v>
      </c>
      <c r="D63" s="16">
        <v>2611174700</v>
      </c>
      <c r="E63" s="16">
        <v>1389030312</v>
      </c>
      <c r="F63" s="16">
        <v>2041.4286369858501</v>
      </c>
      <c r="G63" s="16">
        <f t="shared" si="0"/>
        <v>1.8798543685056746</v>
      </c>
      <c r="H63" s="16">
        <v>7.0420129999999999</v>
      </c>
      <c r="I63" s="16">
        <v>3613001000</v>
      </c>
      <c r="J63" s="16">
        <f>Table1[[#This Row],[Population, total]]*Table1[[#This Row],[GDP per capita (current US$)]]</f>
        <v>2835606256558.1899</v>
      </c>
    </row>
    <row r="64" spans="1:10" x14ac:dyDescent="0.3">
      <c r="A64" s="16" t="s">
        <v>19</v>
      </c>
      <c r="B64" s="16" t="s">
        <v>20</v>
      </c>
      <c r="C64" s="16">
        <v>2020</v>
      </c>
      <c r="D64" s="16">
        <v>2422732000</v>
      </c>
      <c r="E64" s="16">
        <v>1402617695</v>
      </c>
      <c r="F64" s="16">
        <v>1907.0425163766899</v>
      </c>
      <c r="G64" s="16">
        <f t="shared" si="0"/>
        <v>1.7272931951710477</v>
      </c>
      <c r="H64" s="16">
        <v>6.8937989999999996</v>
      </c>
      <c r="I64" s="16">
        <v>3436429300</v>
      </c>
      <c r="J64" s="16">
        <f>Table1[[#This Row],[Population, total]]*Table1[[#This Row],[GDP per capita (current US$)]]</f>
        <v>2674851578587.2725</v>
      </c>
    </row>
    <row r="65" spans="1:10" x14ac:dyDescent="0.3">
      <c r="A65" s="17" t="s">
        <v>21</v>
      </c>
      <c r="B65" s="17" t="s">
        <v>22</v>
      </c>
      <c r="C65" s="17">
        <v>2000</v>
      </c>
      <c r="D65" s="17">
        <v>103939720</v>
      </c>
      <c r="E65" s="17">
        <v>154879127</v>
      </c>
      <c r="F65" s="17">
        <v>642.33834649989797</v>
      </c>
      <c r="G65" s="17">
        <f t="shared" si="0"/>
        <v>0.67110218150958456</v>
      </c>
      <c r="H65" s="17">
        <v>0.4074373</v>
      </c>
      <c r="I65" s="17">
        <v>268153650</v>
      </c>
      <c r="J65" s="17">
        <f>Table1[[#This Row],[Population, total]]*Table1[[#This Row],[GDP per capita (current US$)]]</f>
        <v>99484802344.52771</v>
      </c>
    </row>
    <row r="66" spans="1:10" x14ac:dyDescent="0.3">
      <c r="A66" s="17" t="s">
        <v>21</v>
      </c>
      <c r="B66" s="17" t="s">
        <v>22</v>
      </c>
      <c r="C66" s="17">
        <v>2001</v>
      </c>
      <c r="D66" s="17">
        <v>105400680</v>
      </c>
      <c r="E66" s="17">
        <v>159270907</v>
      </c>
      <c r="F66" s="17">
        <v>609.93950690507302</v>
      </c>
      <c r="G66" s="17">
        <f t="shared" ref="G66:G127" si="1">D66/E66</f>
        <v>0.66176982341162904</v>
      </c>
      <c r="H66" s="17">
        <v>0.41001897999999998</v>
      </c>
      <c r="I66" s="17">
        <v>267979700</v>
      </c>
      <c r="J66" s="17">
        <f>Table1[[#This Row],[Population, total]]*Table1[[#This Row],[GDP per capita (current US$)]]</f>
        <v>97145618479.903748</v>
      </c>
    </row>
    <row r="67" spans="1:10" x14ac:dyDescent="0.3">
      <c r="A67" s="17" t="s">
        <v>21</v>
      </c>
      <c r="B67" s="17" t="s">
        <v>22</v>
      </c>
      <c r="C67" s="17">
        <v>2002</v>
      </c>
      <c r="D67" s="17">
        <v>110566250</v>
      </c>
      <c r="E67" s="17">
        <v>163222549</v>
      </c>
      <c r="F67" s="17">
        <v>599.93734572392702</v>
      </c>
      <c r="G67" s="17">
        <f t="shared" si="1"/>
        <v>0.67739568262715955</v>
      </c>
      <c r="H67" s="17">
        <v>0.42965624000000002</v>
      </c>
      <c r="I67" s="17">
        <v>277709150</v>
      </c>
      <c r="J67" s="17">
        <f>Table1[[#This Row],[Population, total]]*Table1[[#This Row],[GDP per capita (current US$)]]</f>
        <v>97923302809.353622</v>
      </c>
    </row>
    <row r="68" spans="1:10" x14ac:dyDescent="0.3">
      <c r="A68" s="17" t="s">
        <v>21</v>
      </c>
      <c r="B68" s="17" t="s">
        <v>22</v>
      </c>
      <c r="C68" s="17">
        <v>2003</v>
      </c>
      <c r="D68" s="17">
        <v>113141820</v>
      </c>
      <c r="E68" s="17">
        <v>167110248</v>
      </c>
      <c r="F68" s="17">
        <v>672.44178669893995</v>
      </c>
      <c r="G68" s="17">
        <f t="shared" si="1"/>
        <v>0.67704896231139577</v>
      </c>
      <c r="H68" s="17">
        <v>0.42451697999999999</v>
      </c>
      <c r="I68" s="17">
        <v>277715140</v>
      </c>
      <c r="J68" s="17">
        <f>Table1[[#This Row],[Population, total]]*Table1[[#This Row],[GDP per capita (current US$)]]</f>
        <v>112371913740.82295</v>
      </c>
    </row>
    <row r="69" spans="1:10" x14ac:dyDescent="0.3">
      <c r="A69" s="17" t="s">
        <v>21</v>
      </c>
      <c r="B69" s="17" t="s">
        <v>22</v>
      </c>
      <c r="C69" s="17">
        <v>2004</v>
      </c>
      <c r="D69" s="17">
        <v>124636830</v>
      </c>
      <c r="E69" s="17">
        <v>171286000</v>
      </c>
      <c r="F69" s="17">
        <v>771.90224734895401</v>
      </c>
      <c r="G69" s="17">
        <f t="shared" si="1"/>
        <v>0.72765334002778981</v>
      </c>
      <c r="H69" s="17">
        <v>0.45331606000000002</v>
      </c>
      <c r="I69" s="17">
        <v>290964600</v>
      </c>
      <c r="J69" s="17">
        <f>Table1[[#This Row],[Population, total]]*Table1[[#This Row],[GDP per capita (current US$)]]</f>
        <v>132216048339.41293</v>
      </c>
    </row>
    <row r="70" spans="1:10" x14ac:dyDescent="0.3">
      <c r="A70" s="17" t="s">
        <v>21</v>
      </c>
      <c r="B70" s="17" t="s">
        <v>22</v>
      </c>
      <c r="C70" s="17">
        <v>2005</v>
      </c>
      <c r="D70" s="17">
        <v>129947430</v>
      </c>
      <c r="E70" s="17">
        <v>175453212</v>
      </c>
      <c r="F70" s="17">
        <v>827.61986118992604</v>
      </c>
      <c r="G70" s="17">
        <f t="shared" si="1"/>
        <v>0.7406386495791254</v>
      </c>
      <c r="H70" s="17">
        <v>0.45128256</v>
      </c>
      <c r="I70" s="17">
        <v>304570900</v>
      </c>
      <c r="J70" s="17">
        <f>Table1[[#This Row],[Population, total]]*Table1[[#This Row],[GDP per capita (current US$)]]</f>
        <v>145208562960.76666</v>
      </c>
    </row>
    <row r="71" spans="1:10" x14ac:dyDescent="0.3">
      <c r="A71" s="17" t="s">
        <v>21</v>
      </c>
      <c r="B71" s="17" t="s">
        <v>22</v>
      </c>
      <c r="C71" s="17">
        <v>2006</v>
      </c>
      <c r="D71" s="17">
        <v>137911580</v>
      </c>
      <c r="E71" s="17">
        <v>179682690</v>
      </c>
      <c r="F71" s="17">
        <v>900.87356498480801</v>
      </c>
      <c r="G71" s="17">
        <f t="shared" si="1"/>
        <v>0.76752846921425766</v>
      </c>
      <c r="H71" s="17">
        <v>0.47032394999999999</v>
      </c>
      <c r="I71" s="17">
        <v>321015870</v>
      </c>
      <c r="J71" s="17">
        <f>Table1[[#This Row],[Population, total]]*Table1[[#This Row],[GDP per capita (current US$)]]</f>
        <v>161871385506.36011</v>
      </c>
    </row>
    <row r="72" spans="1:10" x14ac:dyDescent="0.3">
      <c r="A72" s="17" t="s">
        <v>21</v>
      </c>
      <c r="B72" s="17" t="s">
        <v>22</v>
      </c>
      <c r="C72" s="17">
        <v>2007</v>
      </c>
      <c r="D72" s="17">
        <v>148349010</v>
      </c>
      <c r="E72" s="17">
        <v>184493231</v>
      </c>
      <c r="F72" s="17">
        <v>998.09011419752403</v>
      </c>
      <c r="G72" s="17">
        <f t="shared" si="1"/>
        <v>0.80408917549934389</v>
      </c>
      <c r="H72" s="17">
        <v>0.50001377000000002</v>
      </c>
      <c r="I72" s="17">
        <v>328960860</v>
      </c>
      <c r="J72" s="17">
        <f>Table1[[#This Row],[Population, total]]*Table1[[#This Row],[GDP per capita (current US$)]]</f>
        <v>184140869997.46017</v>
      </c>
    </row>
    <row r="73" spans="1:10" x14ac:dyDescent="0.3">
      <c r="A73" s="17" t="s">
        <v>21</v>
      </c>
      <c r="B73" s="17" t="s">
        <v>22</v>
      </c>
      <c r="C73" s="17">
        <v>2008</v>
      </c>
      <c r="D73" s="17">
        <v>147901400</v>
      </c>
      <c r="E73" s="17">
        <v>189499113</v>
      </c>
      <c r="F73" s="17">
        <v>1067.0432456528399</v>
      </c>
      <c r="G73" s="17">
        <f t="shared" si="1"/>
        <v>0.78048597515071216</v>
      </c>
      <c r="H73" s="17">
        <v>0.48371937999999998</v>
      </c>
      <c r="I73" s="17">
        <v>336250100</v>
      </c>
      <c r="J73" s="17">
        <f>Table1[[#This Row],[Population, total]]*Table1[[#This Row],[GDP per capita (current US$)]]</f>
        <v>202203748583.85428</v>
      </c>
    </row>
    <row r="74" spans="1:10" x14ac:dyDescent="0.3">
      <c r="A74" s="17" t="s">
        <v>21</v>
      </c>
      <c r="B74" s="17" t="s">
        <v>22</v>
      </c>
      <c r="C74" s="17">
        <v>2009</v>
      </c>
      <c r="D74" s="17">
        <v>148354980</v>
      </c>
      <c r="E74" s="17">
        <v>194376534</v>
      </c>
      <c r="F74" s="17">
        <v>963.78806639522497</v>
      </c>
      <c r="G74" s="17">
        <f t="shared" si="1"/>
        <v>0.76323503124096248</v>
      </c>
      <c r="H74" s="17">
        <v>0.49306270000000002</v>
      </c>
      <c r="I74" s="17">
        <v>344851420</v>
      </c>
      <c r="J74" s="17">
        <f>Table1[[#This Row],[Population, total]]*Table1[[#This Row],[GDP per capita (current US$)]]</f>
        <v>187337783856.4657</v>
      </c>
    </row>
    <row r="75" spans="1:10" x14ac:dyDescent="0.3">
      <c r="A75" s="17" t="s">
        <v>21</v>
      </c>
      <c r="B75" s="17" t="s">
        <v>22</v>
      </c>
      <c r="C75" s="17">
        <v>2010</v>
      </c>
      <c r="D75" s="17">
        <v>147503980</v>
      </c>
      <c r="E75" s="17">
        <v>199239047</v>
      </c>
      <c r="F75" s="17">
        <v>987.30457112448505</v>
      </c>
      <c r="G75" s="17">
        <f t="shared" si="1"/>
        <v>0.74033670719173839</v>
      </c>
      <c r="H75" s="17">
        <v>0.46229229999999999</v>
      </c>
      <c r="I75" s="17">
        <v>355834460</v>
      </c>
      <c r="J75" s="17">
        <f>Table1[[#This Row],[Population, total]]*Table1[[#This Row],[GDP per capita (current US$)]]</f>
        <v>196709621849.58612</v>
      </c>
    </row>
    <row r="76" spans="1:10" x14ac:dyDescent="0.3">
      <c r="A76" s="17" t="s">
        <v>21</v>
      </c>
      <c r="B76" s="17" t="s">
        <v>22</v>
      </c>
      <c r="C76" s="17">
        <v>2011</v>
      </c>
      <c r="D76" s="17">
        <v>149488300</v>
      </c>
      <c r="E76" s="17">
        <v>203746065</v>
      </c>
      <c r="F76" s="17">
        <v>1131.7351383432399</v>
      </c>
      <c r="G76" s="17">
        <f t="shared" si="1"/>
        <v>0.73369907782022681</v>
      </c>
      <c r="H76" s="17">
        <v>0.44863987</v>
      </c>
      <c r="I76" s="17">
        <v>363645000</v>
      </c>
      <c r="J76" s="17">
        <f>Table1[[#This Row],[Population, total]]*Table1[[#This Row],[GDP per capita (current US$)]]</f>
        <v>230586581059.66574</v>
      </c>
    </row>
    <row r="77" spans="1:10" x14ac:dyDescent="0.3">
      <c r="A77" s="17" t="s">
        <v>21</v>
      </c>
      <c r="B77" s="17" t="s">
        <v>22</v>
      </c>
      <c r="C77" s="17">
        <v>2012</v>
      </c>
      <c r="D77" s="17">
        <v>150555070</v>
      </c>
      <c r="E77" s="17">
        <v>207667125</v>
      </c>
      <c r="F77" s="17">
        <v>1204.36475491585</v>
      </c>
      <c r="G77" s="17">
        <f t="shared" si="1"/>
        <v>0.72498268563211432</v>
      </c>
      <c r="H77" s="17">
        <v>0.44219497000000002</v>
      </c>
      <c r="I77" s="17">
        <v>367365600</v>
      </c>
      <c r="J77" s="17">
        <f>Table1[[#This Row],[Population, total]]*Table1[[#This Row],[GDP per capita (current US$)]]</f>
        <v>250106966104.70419</v>
      </c>
    </row>
    <row r="78" spans="1:10" x14ac:dyDescent="0.3">
      <c r="A78" s="17" t="s">
        <v>21</v>
      </c>
      <c r="B78" s="17" t="s">
        <v>22</v>
      </c>
      <c r="C78" s="17">
        <v>2013</v>
      </c>
      <c r="D78" s="17">
        <v>148183040</v>
      </c>
      <c r="E78" s="17">
        <v>211073978</v>
      </c>
      <c r="F78" s="17">
        <v>1225.4340119198</v>
      </c>
      <c r="G78" s="17">
        <f t="shared" si="1"/>
        <v>0.70204314811369117</v>
      </c>
      <c r="H78" s="17">
        <v>0.43014234000000001</v>
      </c>
      <c r="I78" s="17">
        <v>371963870</v>
      </c>
      <c r="J78" s="17">
        <f>Table1[[#This Row],[Population, total]]*Table1[[#This Row],[GDP per capita (current US$)]]</f>
        <v>258657231672.41162</v>
      </c>
    </row>
    <row r="79" spans="1:10" x14ac:dyDescent="0.3">
      <c r="A79" s="17" t="s">
        <v>21</v>
      </c>
      <c r="B79" s="17" t="s">
        <v>22</v>
      </c>
      <c r="C79" s="17">
        <v>2014</v>
      </c>
      <c r="D79" s="17">
        <v>150809500</v>
      </c>
      <c r="E79" s="17">
        <v>214264647</v>
      </c>
      <c r="F79" s="17">
        <v>1266.6134084995899</v>
      </c>
      <c r="G79" s="17">
        <f t="shared" si="1"/>
        <v>0.7038468646673196</v>
      </c>
      <c r="H79" s="17">
        <v>0.44204460000000001</v>
      </c>
      <c r="I79" s="17">
        <v>378127600</v>
      </c>
      <c r="J79" s="17">
        <f>Table1[[#This Row],[Population, total]]*Table1[[#This Row],[GDP per capita (current US$)]]</f>
        <v>271390474857.63144</v>
      </c>
    </row>
    <row r="80" spans="1:10" x14ac:dyDescent="0.3">
      <c r="A80" s="17" t="s">
        <v>21</v>
      </c>
      <c r="B80" s="17" t="s">
        <v>22</v>
      </c>
      <c r="C80" s="17">
        <v>2015</v>
      </c>
      <c r="D80" s="17">
        <v>144895550</v>
      </c>
      <c r="E80" s="17">
        <v>217290883</v>
      </c>
      <c r="F80" s="17">
        <v>1380.4702083831701</v>
      </c>
      <c r="G80" s="17">
        <f t="shared" si="1"/>
        <v>0.66682756312421998</v>
      </c>
      <c r="H80" s="17">
        <v>0.42533594000000002</v>
      </c>
      <c r="I80" s="17">
        <v>387849950</v>
      </c>
      <c r="J80" s="17">
        <f>Table1[[#This Row],[Population, total]]*Table1[[#This Row],[GDP per capita (current US$)]]</f>
        <v>299963590534.77301</v>
      </c>
    </row>
    <row r="81" spans="1:10" x14ac:dyDescent="0.3">
      <c r="A81" s="17" t="s">
        <v>21</v>
      </c>
      <c r="B81" s="17" t="s">
        <v>22</v>
      </c>
      <c r="C81" s="17">
        <v>2016</v>
      </c>
      <c r="D81" s="17">
        <v>176740980</v>
      </c>
      <c r="E81" s="17">
        <v>220138869</v>
      </c>
      <c r="F81" s="17">
        <v>1424.69161195897</v>
      </c>
      <c r="G81" s="17">
        <f t="shared" si="1"/>
        <v>0.80286130660551358</v>
      </c>
      <c r="H81" s="17">
        <v>0.50267905000000002</v>
      </c>
      <c r="I81" s="17">
        <v>425984400</v>
      </c>
      <c r="J81" s="17">
        <f>Table1[[#This Row],[Population, total]]*Table1[[#This Row],[GDP per capita (current US$)]]</f>
        <v>313630000130.43451</v>
      </c>
    </row>
    <row r="82" spans="1:10" x14ac:dyDescent="0.3">
      <c r="A82" s="17" t="s">
        <v>21</v>
      </c>
      <c r="B82" s="17" t="s">
        <v>22</v>
      </c>
      <c r="C82" s="17">
        <v>2017</v>
      </c>
      <c r="D82" s="17">
        <v>211980740</v>
      </c>
      <c r="E82" s="17">
        <v>223273967</v>
      </c>
      <c r="F82" s="17">
        <v>1519.23459514248</v>
      </c>
      <c r="G82" s="17">
        <f t="shared" si="1"/>
        <v>0.94941986675947765</v>
      </c>
      <c r="H82" s="17">
        <v>0.60672789999999999</v>
      </c>
      <c r="I82" s="17">
        <v>465361760</v>
      </c>
      <c r="J82" s="17">
        <f>Table1[[#This Row],[Population, total]]*Table1[[#This Row],[GDP per capita (current US$)]]</f>
        <v>339205534861.10046</v>
      </c>
    </row>
    <row r="83" spans="1:10" x14ac:dyDescent="0.3">
      <c r="A83" s="17" t="s">
        <v>21</v>
      </c>
      <c r="B83" s="17" t="s">
        <v>22</v>
      </c>
      <c r="C83" s="17">
        <v>2018</v>
      </c>
      <c r="D83" s="17">
        <v>203499680</v>
      </c>
      <c r="E83" s="17">
        <v>226928892</v>
      </c>
      <c r="F83" s="17">
        <v>1569.33814626355</v>
      </c>
      <c r="G83" s="17">
        <f t="shared" si="1"/>
        <v>0.89675527080967721</v>
      </c>
      <c r="H83" s="17">
        <v>0.57267994</v>
      </c>
      <c r="I83" s="17">
        <v>455021250</v>
      </c>
      <c r="J83" s="17">
        <f>Table1[[#This Row],[Population, total]]*Table1[[#This Row],[GDP per capita (current US$)]]</f>
        <v>356128166704.92133</v>
      </c>
    </row>
    <row r="84" spans="1:10" x14ac:dyDescent="0.3">
      <c r="A84" s="17" t="s">
        <v>21</v>
      </c>
      <c r="B84" s="17" t="s">
        <v>22</v>
      </c>
      <c r="C84" s="17">
        <v>2019</v>
      </c>
      <c r="D84" s="17">
        <v>190825870</v>
      </c>
      <c r="E84" s="17">
        <v>230800899</v>
      </c>
      <c r="F84" s="17">
        <v>1390.41690981745</v>
      </c>
      <c r="G84" s="17">
        <f t="shared" si="1"/>
        <v>0.82679864258241043</v>
      </c>
      <c r="H84" s="17">
        <v>0.55956459999999997</v>
      </c>
      <c r="I84" s="17">
        <v>454955170</v>
      </c>
      <c r="J84" s="17">
        <f>Table1[[#This Row],[Population, total]]*Table1[[#This Row],[GDP per capita (current US$)]]</f>
        <v>320909472770.66937</v>
      </c>
    </row>
    <row r="85" spans="1:10" x14ac:dyDescent="0.3">
      <c r="A85" s="17" t="s">
        <v>21</v>
      </c>
      <c r="B85" s="17" t="s">
        <v>22</v>
      </c>
      <c r="C85" s="17">
        <v>2020</v>
      </c>
      <c r="D85" s="17">
        <v>215509550</v>
      </c>
      <c r="E85" s="17">
        <v>235001746</v>
      </c>
      <c r="F85" s="17">
        <v>1278.3973520689599</v>
      </c>
      <c r="G85" s="17">
        <f t="shared" si="1"/>
        <v>0.91705510136933199</v>
      </c>
      <c r="H85" s="17">
        <v>0.65692269999999997</v>
      </c>
      <c r="I85" s="17">
        <v>482811900</v>
      </c>
      <c r="J85" s="17">
        <f>Table1[[#This Row],[Population, total]]*Table1[[#This Row],[GDP per capita (current US$)]]</f>
        <v>300425609817.9823</v>
      </c>
    </row>
    <row r="86" spans="1:10" x14ac:dyDescent="0.3">
      <c r="A86" s="18" t="s">
        <v>23</v>
      </c>
      <c r="B86" s="18" t="s">
        <v>24</v>
      </c>
      <c r="C86" s="18">
        <v>2000</v>
      </c>
      <c r="D86" s="18">
        <v>6023158000</v>
      </c>
      <c r="E86" s="18">
        <v>282162411</v>
      </c>
      <c r="F86" s="18">
        <v>36329.9560727102</v>
      </c>
      <c r="G86" s="18">
        <f t="shared" si="1"/>
        <v>21.346422362403189</v>
      </c>
      <c r="H86" s="18">
        <v>23.559408000000001</v>
      </c>
      <c r="I86" s="18">
        <v>7217240000</v>
      </c>
      <c r="J86" s="18">
        <f>Table1[[#This Row],[Population, total]]*Table1[[#This Row],[GDP per capita (current US$)]]</f>
        <v>10250947997000.002</v>
      </c>
    </row>
    <row r="87" spans="1:10" x14ac:dyDescent="0.3">
      <c r="A87" s="18" t="s">
        <v>23</v>
      </c>
      <c r="B87" s="18" t="s">
        <v>24</v>
      </c>
      <c r="C87" s="18">
        <v>2001</v>
      </c>
      <c r="D87" s="18">
        <v>5903562000</v>
      </c>
      <c r="E87" s="18">
        <v>284968955</v>
      </c>
      <c r="F87" s="18">
        <v>37133.623113437003</v>
      </c>
      <c r="G87" s="18">
        <f t="shared" si="1"/>
        <v>20.716509277300048</v>
      </c>
      <c r="H87" s="18">
        <v>22.981686</v>
      </c>
      <c r="I87" s="18">
        <v>6976343600</v>
      </c>
      <c r="J87" s="18">
        <f>Table1[[#This Row],[Population, total]]*Table1[[#This Row],[GDP per capita (current US$)]]</f>
        <v>10581929773999.988</v>
      </c>
    </row>
    <row r="88" spans="1:10" x14ac:dyDescent="0.3">
      <c r="A88" s="18" t="s">
        <v>23</v>
      </c>
      <c r="B88" s="18" t="s">
        <v>24</v>
      </c>
      <c r="C88" s="18">
        <v>2002</v>
      </c>
      <c r="D88" s="18">
        <v>5947819500</v>
      </c>
      <c r="E88" s="18">
        <v>287625193</v>
      </c>
      <c r="F88" s="18">
        <v>37997.759657305098</v>
      </c>
      <c r="G88" s="18">
        <f t="shared" si="1"/>
        <v>20.679063047164995</v>
      </c>
      <c r="H88" s="18">
        <v>22.629438</v>
      </c>
      <c r="I88" s="18">
        <v>7059111400</v>
      </c>
      <c r="J88" s="18">
        <f>Table1[[#This Row],[Population, total]]*Table1[[#This Row],[GDP per capita (current US$)]]</f>
        <v>10929112954999.992</v>
      </c>
    </row>
    <row r="89" spans="1:10" x14ac:dyDescent="0.3">
      <c r="A89" s="18" t="s">
        <v>23</v>
      </c>
      <c r="B89" s="18" t="s">
        <v>24</v>
      </c>
      <c r="C89" s="18">
        <v>2003</v>
      </c>
      <c r="D89" s="18">
        <v>6006440000</v>
      </c>
      <c r="E89" s="18">
        <v>290107933</v>
      </c>
      <c r="F89" s="18">
        <v>39490.274955700697</v>
      </c>
      <c r="G89" s="18">
        <f t="shared" si="1"/>
        <v>20.704156338944376</v>
      </c>
      <c r="H89" s="18">
        <v>21.7212</v>
      </c>
      <c r="I89" s="18">
        <v>7245448000</v>
      </c>
      <c r="J89" s="18">
        <f>Table1[[#This Row],[Population, total]]*Table1[[#This Row],[GDP per capita (current US$)]]</f>
        <v>11456442040999.996</v>
      </c>
    </row>
    <row r="90" spans="1:10" x14ac:dyDescent="0.3">
      <c r="A90" s="18" t="s">
        <v>23</v>
      </c>
      <c r="B90" s="18" t="s">
        <v>24</v>
      </c>
      <c r="C90" s="18">
        <v>2004</v>
      </c>
      <c r="D90" s="18">
        <v>6111545000</v>
      </c>
      <c r="E90" s="18">
        <v>292805298</v>
      </c>
      <c r="F90" s="18">
        <v>41724.631628762399</v>
      </c>
      <c r="G90" s="18">
        <f t="shared" si="1"/>
        <v>20.872385307727594</v>
      </c>
      <c r="H90" s="18">
        <v>21.348654</v>
      </c>
      <c r="I90" s="18">
        <v>7314667500</v>
      </c>
      <c r="J90" s="18">
        <f>Table1[[#This Row],[Population, total]]*Table1[[#This Row],[GDP per capita (current US$)]]</f>
        <v>12217193198000</v>
      </c>
    </row>
    <row r="91" spans="1:10" x14ac:dyDescent="0.3">
      <c r="A91" s="18" t="s">
        <v>23</v>
      </c>
      <c r="B91" s="18" t="s">
        <v>24</v>
      </c>
      <c r="C91" s="18">
        <v>2005</v>
      </c>
      <c r="D91" s="18">
        <v>6126903300</v>
      </c>
      <c r="E91" s="18">
        <v>295516599</v>
      </c>
      <c r="F91" s="18">
        <v>44123.4070679055</v>
      </c>
      <c r="G91" s="18">
        <f t="shared" si="1"/>
        <v>20.732856701562135</v>
      </c>
      <c r="H91" s="18">
        <v>20.706764</v>
      </c>
      <c r="I91" s="18">
        <v>7428800500</v>
      </c>
      <c r="J91" s="18">
        <f>Table1[[#This Row],[Population, total]]*Table1[[#This Row],[GDP per capita (current US$)]]</f>
        <v>13039199192999.996</v>
      </c>
    </row>
    <row r="92" spans="1:10" x14ac:dyDescent="0.3">
      <c r="A92" s="18" t="s">
        <v>23</v>
      </c>
      <c r="B92" s="18" t="s">
        <v>24</v>
      </c>
      <c r="C92" s="18">
        <v>2006</v>
      </c>
      <c r="D92" s="18">
        <v>6045326300</v>
      </c>
      <c r="E92" s="18">
        <v>298379912</v>
      </c>
      <c r="F92" s="18">
        <v>46302.000880005602</v>
      </c>
      <c r="G92" s="18">
        <f t="shared" si="1"/>
        <v>20.260500311428473</v>
      </c>
      <c r="H92" s="18">
        <v>19.761679999999998</v>
      </c>
      <c r="I92" s="18">
        <v>7064877600</v>
      </c>
      <c r="J92" s="18">
        <f>Table1[[#This Row],[Population, total]]*Table1[[#This Row],[GDP per capita (current US$)]]</f>
        <v>13815586947999.994</v>
      </c>
    </row>
    <row r="93" spans="1:10" x14ac:dyDescent="0.3">
      <c r="A93" s="18" t="s">
        <v>23</v>
      </c>
      <c r="B93" s="18" t="s">
        <v>24</v>
      </c>
      <c r="C93" s="18">
        <v>2007</v>
      </c>
      <c r="D93" s="18">
        <v>6121542700</v>
      </c>
      <c r="E93" s="18">
        <v>301231207</v>
      </c>
      <c r="F93" s="18">
        <v>48050.223777113497</v>
      </c>
      <c r="G93" s="18">
        <f t="shared" si="1"/>
        <v>20.321741432321122</v>
      </c>
      <c r="H93" s="18">
        <v>19.439326999999999</v>
      </c>
      <c r="I93" s="18">
        <v>7181516000</v>
      </c>
      <c r="J93" s="18">
        <f>Table1[[#This Row],[Population, total]]*Table1[[#This Row],[GDP per capita (current US$)]]</f>
        <v>14474226904999.998</v>
      </c>
    </row>
    <row r="94" spans="1:10" x14ac:dyDescent="0.3">
      <c r="A94" s="18" t="s">
        <v>23</v>
      </c>
      <c r="B94" s="18" t="s">
        <v>24</v>
      </c>
      <c r="C94" s="18">
        <v>2008</v>
      </c>
      <c r="D94" s="18">
        <v>5919221000</v>
      </c>
      <c r="E94" s="18">
        <v>304093966</v>
      </c>
      <c r="F94" s="18">
        <v>48570.045980458599</v>
      </c>
      <c r="G94" s="18">
        <f t="shared" si="1"/>
        <v>19.46510507216049</v>
      </c>
      <c r="H94" s="18">
        <v>18.441984000000001</v>
      </c>
      <c r="I94" s="18">
        <v>7074333700</v>
      </c>
      <c r="J94" s="18">
        <f>Table1[[#This Row],[Population, total]]*Table1[[#This Row],[GDP per capita (current US$)]]</f>
        <v>14769857911000.014</v>
      </c>
    </row>
    <row r="95" spans="1:10" x14ac:dyDescent="0.3">
      <c r="A95" s="18" t="s">
        <v>23</v>
      </c>
      <c r="B95" s="18" t="s">
        <v>24</v>
      </c>
      <c r="C95" s="18">
        <v>2009</v>
      </c>
      <c r="D95" s="18">
        <v>5486104000</v>
      </c>
      <c r="E95" s="18">
        <v>306771529</v>
      </c>
      <c r="F95" s="18">
        <v>47194.943354733601</v>
      </c>
      <c r="G95" s="18">
        <f t="shared" si="1"/>
        <v>17.883354488219148</v>
      </c>
      <c r="H95" s="18">
        <v>17.376003000000001</v>
      </c>
      <c r="I95" s="18">
        <v>6577918000</v>
      </c>
      <c r="J95" s="18">
        <f>Table1[[#This Row],[Population, total]]*Table1[[#This Row],[GDP per capita (current US$)]]</f>
        <v>14478064934000.016</v>
      </c>
    </row>
    <row r="96" spans="1:10" x14ac:dyDescent="0.3">
      <c r="A96" s="18" t="s">
        <v>23</v>
      </c>
      <c r="B96" s="18" t="s">
        <v>24</v>
      </c>
      <c r="C96" s="18">
        <v>2010</v>
      </c>
      <c r="D96" s="18">
        <v>5669250000</v>
      </c>
      <c r="E96" s="18">
        <v>309378227</v>
      </c>
      <c r="F96" s="18">
        <v>48642.610017931198</v>
      </c>
      <c r="G96" s="18">
        <f t="shared" si="1"/>
        <v>18.32465734571554</v>
      </c>
      <c r="H96" s="18">
        <v>17.027616999999999</v>
      </c>
      <c r="I96" s="18">
        <v>6823523000</v>
      </c>
      <c r="J96" s="18">
        <f>Table1[[#This Row],[Population, total]]*Table1[[#This Row],[GDP per capita (current US$)]]</f>
        <v>15048964443999.992</v>
      </c>
    </row>
    <row r="97" spans="1:10" x14ac:dyDescent="0.3">
      <c r="A97" s="18" t="s">
        <v>23</v>
      </c>
      <c r="B97" s="18" t="s">
        <v>24</v>
      </c>
      <c r="C97" s="18">
        <v>2011</v>
      </c>
      <c r="D97" s="18">
        <v>5538973000</v>
      </c>
      <c r="E97" s="18">
        <v>311839461</v>
      </c>
      <c r="F97" s="18">
        <v>50024.868799397998</v>
      </c>
      <c r="G97" s="18">
        <f t="shared" si="1"/>
        <v>17.76225812550388</v>
      </c>
      <c r="H97" s="18">
        <v>16.073584</v>
      </c>
      <c r="I97" s="18">
        <v>6523640000</v>
      </c>
      <c r="J97" s="18">
        <f>Table1[[#This Row],[Population, total]]*Table1[[#This Row],[GDP per capita (current US$)]]</f>
        <v>15599728122999.988</v>
      </c>
    </row>
    <row r="98" spans="1:10" x14ac:dyDescent="0.3">
      <c r="A98" s="18" t="s">
        <v>23</v>
      </c>
      <c r="B98" s="18" t="s">
        <v>24</v>
      </c>
      <c r="C98" s="18">
        <v>2012</v>
      </c>
      <c r="D98" s="18">
        <v>5331467300</v>
      </c>
      <c r="E98" s="18">
        <v>314339099</v>
      </c>
      <c r="F98" s="18">
        <v>51708.401155657702</v>
      </c>
      <c r="G98" s="18">
        <f t="shared" si="1"/>
        <v>16.960878608359184</v>
      </c>
      <c r="H98" s="18">
        <v>15.268807000000001</v>
      </c>
      <c r="I98" s="18">
        <v>6388707300</v>
      </c>
      <c r="J98" s="18">
        <f>Table1[[#This Row],[Population, total]]*Table1[[#This Row],[GDP per capita (current US$)]]</f>
        <v>16253972230000</v>
      </c>
    </row>
    <row r="99" spans="1:10" x14ac:dyDescent="0.3">
      <c r="A99" s="18" t="s">
        <v>23</v>
      </c>
      <c r="B99" s="18" t="s">
        <v>24</v>
      </c>
      <c r="C99" s="18">
        <v>2013</v>
      </c>
      <c r="D99" s="18">
        <v>5473436000</v>
      </c>
      <c r="E99" s="18">
        <v>316726282</v>
      </c>
      <c r="F99" s="18">
        <v>53179.012763456099</v>
      </c>
      <c r="G99" s="18">
        <f t="shared" si="1"/>
        <v>17.281281381000142</v>
      </c>
      <c r="H99" s="18">
        <v>15.523795</v>
      </c>
      <c r="I99" s="18">
        <v>6488664600</v>
      </c>
      <c r="J99" s="18">
        <f>Table1[[#This Row],[Population, total]]*Table1[[#This Row],[GDP per capita (current US$)]]</f>
        <v>16843190992999.996</v>
      </c>
    </row>
    <row r="100" spans="1:10" x14ac:dyDescent="0.3">
      <c r="A100" s="18" t="s">
        <v>23</v>
      </c>
      <c r="B100" s="18" t="s">
        <v>24</v>
      </c>
      <c r="C100" s="18">
        <v>2014</v>
      </c>
      <c r="D100" s="18">
        <v>5531385300</v>
      </c>
      <c r="E100" s="18">
        <v>319257560</v>
      </c>
      <c r="F100" s="18">
        <v>54973.420751571197</v>
      </c>
      <c r="G100" s="18">
        <f t="shared" si="1"/>
        <v>17.325777030933896</v>
      </c>
      <c r="H100" s="18">
        <v>15.595674499999999</v>
      </c>
      <c r="I100" s="18">
        <v>6610767000</v>
      </c>
      <c r="J100" s="18">
        <f>Table1[[#This Row],[Population, total]]*Table1[[#This Row],[GDP per capita (current US$)]]</f>
        <v>17550680173999.986</v>
      </c>
    </row>
    <row r="101" spans="1:10" x14ac:dyDescent="0.3">
      <c r="A101" s="18" t="s">
        <v>23</v>
      </c>
      <c r="B101" s="18" t="s">
        <v>24</v>
      </c>
      <c r="C101" s="18">
        <v>2015</v>
      </c>
      <c r="D101" s="18">
        <v>5368496600</v>
      </c>
      <c r="E101" s="18">
        <v>321815121</v>
      </c>
      <c r="F101" s="18">
        <v>56572.918899606302</v>
      </c>
      <c r="G101" s="18">
        <f t="shared" si="1"/>
        <v>16.681927758142852</v>
      </c>
      <c r="H101" s="18">
        <v>15.185676000000001</v>
      </c>
      <c r="I101" s="18">
        <v>6408285700</v>
      </c>
      <c r="J101" s="18">
        <f>Table1[[#This Row],[Population, total]]*Table1[[#This Row],[GDP per capita (current US$)]]</f>
        <v>18206020740999.988</v>
      </c>
    </row>
    <row r="102" spans="1:10" x14ac:dyDescent="0.3">
      <c r="A102" s="18" t="s">
        <v>23</v>
      </c>
      <c r="B102" s="18" t="s">
        <v>24</v>
      </c>
      <c r="C102" s="18">
        <v>2016</v>
      </c>
      <c r="D102" s="18">
        <v>5245361700</v>
      </c>
      <c r="E102" s="18">
        <v>324353340</v>
      </c>
      <c r="F102" s="18">
        <v>57638.101836719201</v>
      </c>
      <c r="G102" s="18">
        <f t="shared" si="1"/>
        <v>16.171751769227967</v>
      </c>
      <c r="H102" s="18">
        <v>14.831811999999999</v>
      </c>
      <c r="I102" s="18">
        <v>6308616700</v>
      </c>
      <c r="J102" s="18">
        <f>Table1[[#This Row],[Population, total]]*Table1[[#This Row],[GDP per capita (current US$)]]</f>
        <v>18695110842000.008</v>
      </c>
    </row>
    <row r="103" spans="1:10" x14ac:dyDescent="0.3">
      <c r="A103" s="18" t="s">
        <v>23</v>
      </c>
      <c r="B103" s="18" t="s">
        <v>24</v>
      </c>
      <c r="C103" s="18">
        <v>2017</v>
      </c>
      <c r="D103" s="18">
        <v>5195417600</v>
      </c>
      <c r="E103" s="18">
        <v>326608609</v>
      </c>
      <c r="F103" s="18">
        <v>59635.0984397965</v>
      </c>
      <c r="G103" s="18">
        <f t="shared" si="1"/>
        <v>15.907166733623974</v>
      </c>
      <c r="H103" s="18">
        <v>14.482291999999999</v>
      </c>
      <c r="I103" s="18">
        <v>6319225000</v>
      </c>
      <c r="J103" s="18">
        <f>Table1[[#This Row],[Population, total]]*Table1[[#This Row],[GDP per capita (current US$)]]</f>
        <v>19477336549000.004</v>
      </c>
    </row>
    <row r="104" spans="1:10" x14ac:dyDescent="0.3">
      <c r="A104" s="18" t="s">
        <v>23</v>
      </c>
      <c r="B104" s="18" t="s">
        <v>24</v>
      </c>
      <c r="C104" s="18">
        <v>2018</v>
      </c>
      <c r="D104" s="18">
        <v>5361236500</v>
      </c>
      <c r="E104" s="18">
        <v>328529577</v>
      </c>
      <c r="F104" s="18">
        <v>62499.874439006802</v>
      </c>
      <c r="G104" s="18">
        <f t="shared" si="1"/>
        <v>16.318885346508694</v>
      </c>
      <c r="H104" s="18">
        <v>14.641260000000001</v>
      </c>
      <c r="I104" s="18">
        <v>6466737000</v>
      </c>
      <c r="J104" s="18">
        <f>Table1[[#This Row],[Population, total]]*Table1[[#This Row],[GDP per capita (current US$)]]</f>
        <v>20533057312000.016</v>
      </c>
    </row>
    <row r="105" spans="1:10" x14ac:dyDescent="0.3">
      <c r="A105" s="18" t="s">
        <v>23</v>
      </c>
      <c r="B105" s="18" t="s">
        <v>24</v>
      </c>
      <c r="C105" s="18">
        <v>2019</v>
      </c>
      <c r="D105" s="18">
        <v>5235912000</v>
      </c>
      <c r="E105" s="18">
        <v>330226227</v>
      </c>
      <c r="F105" s="18">
        <v>64746.4506778863</v>
      </c>
      <c r="G105" s="18">
        <f t="shared" si="1"/>
        <v>15.855530457306772</v>
      </c>
      <c r="H105" s="18">
        <v>14.182045</v>
      </c>
      <c r="I105" s="18">
        <v>6360786400</v>
      </c>
      <c r="J105" s="18">
        <f>Table1[[#This Row],[Population, total]]*Table1[[#This Row],[GDP per capita (current US$)]]</f>
        <v>21380976118999.984</v>
      </c>
    </row>
    <row r="106" spans="1:10" x14ac:dyDescent="0.3">
      <c r="A106" s="18" t="s">
        <v>23</v>
      </c>
      <c r="B106" s="18" t="s">
        <v>24</v>
      </c>
      <c r="C106" s="18">
        <v>2020</v>
      </c>
      <c r="D106" s="18">
        <v>4689954000</v>
      </c>
      <c r="E106" s="18">
        <v>331577720</v>
      </c>
      <c r="F106" s="18">
        <v>63515.949180783296</v>
      </c>
      <c r="G106" s="18">
        <f t="shared" si="1"/>
        <v>14.144358070861939</v>
      </c>
      <c r="H106" s="18">
        <v>13.421844999999999</v>
      </c>
      <c r="I106" s="18">
        <v>5758456000</v>
      </c>
      <c r="J106" s="18">
        <f>Table1[[#This Row],[Population, total]]*Table1[[#This Row],[GDP per capita (current US$)]]</f>
        <v>21060473612999.992</v>
      </c>
    </row>
    <row r="107" spans="1:10" x14ac:dyDescent="0.3">
      <c r="A107" s="19" t="s">
        <v>25</v>
      </c>
      <c r="B107" s="19" t="s">
        <v>26</v>
      </c>
      <c r="C107" s="19">
        <v>2000</v>
      </c>
      <c r="D107" s="19">
        <v>25511483000</v>
      </c>
      <c r="E107" s="19">
        <v>6161884811</v>
      </c>
      <c r="F107" s="19">
        <v>5501.2642181645397</v>
      </c>
      <c r="G107" s="19">
        <f t="shared" si="1"/>
        <v>4.1402077095725183</v>
      </c>
      <c r="H107" s="19">
        <v>100</v>
      </c>
      <c r="I107" s="19">
        <v>40795378000</v>
      </c>
      <c r="J107" s="19">
        <f>Table1[[#This Row],[Population, total]]*Table1[[#This Row],[GDP per capita (current US$)]]</f>
        <v>33898156427205.867</v>
      </c>
    </row>
    <row r="108" spans="1:10" x14ac:dyDescent="0.3">
      <c r="A108" s="19" t="s">
        <v>25</v>
      </c>
      <c r="B108" s="19" t="s">
        <v>26</v>
      </c>
      <c r="C108" s="19">
        <v>2001</v>
      </c>
      <c r="D108" s="19">
        <v>25692994000</v>
      </c>
      <c r="E108" s="19">
        <v>6245112906</v>
      </c>
      <c r="F108" s="19">
        <v>5394.6851252672504</v>
      </c>
      <c r="G108" s="19">
        <f t="shared" si="1"/>
        <v>4.1140959958170527</v>
      </c>
      <c r="H108" s="19">
        <v>100</v>
      </c>
      <c r="I108" s="19">
        <v>40260362000</v>
      </c>
      <c r="J108" s="19">
        <f>Table1[[#This Row],[Population, total]]*Table1[[#This Row],[GDP per capita (current US$)]]</f>
        <v>33690417699612.734</v>
      </c>
    </row>
    <row r="109" spans="1:10" x14ac:dyDescent="0.3">
      <c r="A109" s="19" t="s">
        <v>25</v>
      </c>
      <c r="B109" s="19" t="s">
        <v>26</v>
      </c>
      <c r="C109" s="19">
        <v>2002</v>
      </c>
      <c r="D109" s="19">
        <v>26265332000</v>
      </c>
      <c r="E109" s="19">
        <v>6327557399</v>
      </c>
      <c r="F109" s="19">
        <v>5530.0210426296499</v>
      </c>
      <c r="G109" s="19">
        <f t="shared" si="1"/>
        <v>4.1509433014627328</v>
      </c>
      <c r="H109" s="19">
        <v>99.999989999999997</v>
      </c>
      <c r="I109" s="19">
        <v>41423413000</v>
      </c>
      <c r="J109" s="19">
        <f>Table1[[#This Row],[Population, total]]*Table1[[#This Row],[GDP per capita (current US$)]]</f>
        <v>34991525564916.934</v>
      </c>
    </row>
    <row r="110" spans="1:10" x14ac:dyDescent="0.3">
      <c r="A110" s="19" t="s">
        <v>25</v>
      </c>
      <c r="B110" s="19" t="s">
        <v>26</v>
      </c>
      <c r="C110" s="19">
        <v>2003</v>
      </c>
      <c r="D110" s="19">
        <v>27652692000</v>
      </c>
      <c r="E110" s="19">
        <v>6409750441</v>
      </c>
      <c r="F110" s="19">
        <v>6122.4344609802802</v>
      </c>
      <c r="G110" s="19">
        <f t="shared" si="1"/>
        <v>4.3141604738804524</v>
      </c>
      <c r="H110" s="19">
        <v>100</v>
      </c>
      <c r="I110" s="19">
        <v>44206870000</v>
      </c>
      <c r="J110" s="19">
        <f>Table1[[#This Row],[Population, total]]*Table1[[#This Row],[GDP per capita (current US$)]]</f>
        <v>39243276986261.945</v>
      </c>
    </row>
    <row r="111" spans="1:10" x14ac:dyDescent="0.3">
      <c r="A111" s="19" t="s">
        <v>25</v>
      </c>
      <c r="B111" s="19" t="s">
        <v>26</v>
      </c>
      <c r="C111" s="19">
        <v>2004</v>
      </c>
      <c r="D111" s="19">
        <v>28610023000</v>
      </c>
      <c r="E111" s="19">
        <v>6492769815</v>
      </c>
      <c r="F111" s="19">
        <v>6811.4819576227101</v>
      </c>
      <c r="G111" s="19">
        <f t="shared" si="1"/>
        <v>4.4064434463552598</v>
      </c>
      <c r="H111" s="19">
        <v>100</v>
      </c>
      <c r="I111" s="19">
        <v>44421226000</v>
      </c>
      <c r="J111" s="19">
        <f>Table1[[#This Row],[Population, total]]*Table1[[#This Row],[GDP per capita (current US$)]]</f>
        <v>44225384449869.844</v>
      </c>
    </row>
    <row r="112" spans="1:10" x14ac:dyDescent="0.3">
      <c r="A112" s="19" t="s">
        <v>25</v>
      </c>
      <c r="B112" s="19" t="s">
        <v>26</v>
      </c>
      <c r="C112" s="19">
        <v>2005</v>
      </c>
      <c r="D112" s="19">
        <v>29598951000</v>
      </c>
      <c r="E112" s="19">
        <v>6575841506</v>
      </c>
      <c r="F112" s="19">
        <v>7284.3133102376296</v>
      </c>
      <c r="G112" s="19">
        <f t="shared" si="1"/>
        <v>4.5011655121238867</v>
      </c>
      <c r="H112" s="19">
        <v>100</v>
      </c>
      <c r="I112" s="19">
        <v>45006918000</v>
      </c>
      <c r="J112" s="19">
        <f>Table1[[#This Row],[Population, total]]*Table1[[#This Row],[GDP per capita (current US$)]]</f>
        <v>47900489808168.859</v>
      </c>
    </row>
    <row r="113" spans="1:10" x14ac:dyDescent="0.3">
      <c r="A113" s="19" t="s">
        <v>25</v>
      </c>
      <c r="B113" s="19" t="s">
        <v>26</v>
      </c>
      <c r="C113" s="19">
        <v>2006</v>
      </c>
      <c r="D113" s="19">
        <v>30594152000</v>
      </c>
      <c r="E113" s="19">
        <v>6659977025</v>
      </c>
      <c r="F113" s="19">
        <v>7796.3493101533604</v>
      </c>
      <c r="G113" s="19">
        <f t="shared" si="1"/>
        <v>4.5937323635136718</v>
      </c>
      <c r="H113" s="19">
        <v>100</v>
      </c>
      <c r="I113" s="19">
        <v>46217527000</v>
      </c>
      <c r="J113" s="19">
        <f>Table1[[#This Row],[Population, total]]*Table1[[#This Row],[GDP per capita (current US$)]]</f>
        <v>51923507284495.977</v>
      </c>
    </row>
    <row r="114" spans="1:10" x14ac:dyDescent="0.3">
      <c r="A114" s="19" t="s">
        <v>25</v>
      </c>
      <c r="B114" s="19" t="s">
        <v>26</v>
      </c>
      <c r="C114" s="19">
        <v>2007</v>
      </c>
      <c r="D114" s="19">
        <v>31499256000</v>
      </c>
      <c r="E114" s="19">
        <v>6744489399</v>
      </c>
      <c r="F114" s="19">
        <v>8677.5710270763193</v>
      </c>
      <c r="G114" s="19">
        <f t="shared" si="1"/>
        <v>4.6703692654139788</v>
      </c>
      <c r="H114" s="19">
        <v>99.999989999999997</v>
      </c>
      <c r="I114" s="19">
        <v>46734880000</v>
      </c>
      <c r="J114" s="19">
        <f>Table1[[#This Row],[Population, total]]*Table1[[#This Row],[GDP per capita (current US$)]]</f>
        <v>58525785801185.781</v>
      </c>
    </row>
    <row r="115" spans="1:10" x14ac:dyDescent="0.3">
      <c r="A115" s="19" t="s">
        <v>25</v>
      </c>
      <c r="B115" s="19" t="s">
        <v>26</v>
      </c>
      <c r="C115" s="19">
        <v>2008</v>
      </c>
      <c r="D115" s="19">
        <v>32049660000</v>
      </c>
      <c r="E115" s="19">
        <v>6830513541</v>
      </c>
      <c r="F115" s="19">
        <v>9415.3578612518195</v>
      </c>
      <c r="G115" s="19">
        <f t="shared" si="1"/>
        <v>4.6921303658389162</v>
      </c>
      <c r="H115" s="19">
        <v>100</v>
      </c>
      <c r="I115" s="19">
        <v>47666078000</v>
      </c>
      <c r="J115" s="19">
        <f>Table1[[#This Row],[Population, total]]*Table1[[#This Row],[GDP per capita (current US$)]]</f>
        <v>64311729364641.352</v>
      </c>
    </row>
    <row r="116" spans="1:10" x14ac:dyDescent="0.3">
      <c r="A116" s="19" t="s">
        <v>25</v>
      </c>
      <c r="B116" s="19" t="s">
        <v>26</v>
      </c>
      <c r="C116" s="19">
        <v>2009</v>
      </c>
      <c r="D116" s="19">
        <v>31513014000</v>
      </c>
      <c r="E116" s="19">
        <v>6916589116</v>
      </c>
      <c r="F116" s="19">
        <v>8816.8105604156008</v>
      </c>
      <c r="G116" s="19">
        <f t="shared" si="1"/>
        <v>4.5561494938453997</v>
      </c>
      <c r="H116" s="19">
        <v>100</v>
      </c>
      <c r="I116" s="19">
        <v>47682020000</v>
      </c>
      <c r="J116" s="19">
        <f>Table1[[#This Row],[Population, total]]*Table1[[#This Row],[GDP per capita (current US$)]]</f>
        <v>60982255960004.406</v>
      </c>
    </row>
    <row r="117" spans="1:10" x14ac:dyDescent="0.3">
      <c r="A117" s="19" t="s">
        <v>25</v>
      </c>
      <c r="B117" s="19" t="s">
        <v>26</v>
      </c>
      <c r="C117" s="19">
        <v>2010</v>
      </c>
      <c r="D117" s="19">
        <v>33317670000</v>
      </c>
      <c r="E117" s="19">
        <v>7001266876</v>
      </c>
      <c r="F117" s="19">
        <v>9542.7288624920802</v>
      </c>
      <c r="G117" s="19">
        <f t="shared" si="1"/>
        <v>4.7588058832911146</v>
      </c>
      <c r="H117" s="19">
        <v>100</v>
      </c>
      <c r="I117" s="19">
        <v>49602090000</v>
      </c>
      <c r="J117" s="19">
        <f>Table1[[#This Row],[Population, total]]*Table1[[#This Row],[GDP per capita (current US$)]]</f>
        <v>66811191491614.961</v>
      </c>
    </row>
    <row r="118" spans="1:10" x14ac:dyDescent="0.3">
      <c r="A118" s="19" t="s">
        <v>25</v>
      </c>
      <c r="B118" s="19" t="s">
        <v>26</v>
      </c>
      <c r="C118" s="19">
        <v>2011</v>
      </c>
      <c r="D118" s="19">
        <v>34479990000</v>
      </c>
      <c r="E118" s="19">
        <v>7087120034</v>
      </c>
      <c r="F118" s="19">
        <v>10485.1771943036</v>
      </c>
      <c r="G118" s="19">
        <f t="shared" si="1"/>
        <v>4.8651624121765229</v>
      </c>
      <c r="H118" s="19">
        <v>100</v>
      </c>
      <c r="I118" s="19">
        <v>50934178000</v>
      </c>
      <c r="J118" s="19">
        <f>Table1[[#This Row],[Population, total]]*Table1[[#This Row],[GDP per capita (current US$)]]</f>
        <v>74309709353788.953</v>
      </c>
    </row>
    <row r="119" spans="1:10" x14ac:dyDescent="0.3">
      <c r="A119" s="19" t="s">
        <v>25</v>
      </c>
      <c r="B119" s="19" t="s">
        <v>26</v>
      </c>
      <c r="C119" s="19">
        <v>2012</v>
      </c>
      <c r="D119" s="19">
        <v>34954736000</v>
      </c>
      <c r="E119" s="19">
        <v>7176929184</v>
      </c>
      <c r="F119" s="19">
        <v>10583.996671598899</v>
      </c>
      <c r="G119" s="19">
        <f t="shared" si="1"/>
        <v>4.870430668025385</v>
      </c>
      <c r="H119" s="19">
        <v>100</v>
      </c>
      <c r="I119" s="19">
        <v>51787150000</v>
      </c>
      <c r="J119" s="19">
        <f>Table1[[#This Row],[Population, total]]*Table1[[#This Row],[GDP per capita (current US$)]]</f>
        <v>75960594595757</v>
      </c>
    </row>
    <row r="120" spans="1:10" x14ac:dyDescent="0.3">
      <c r="A120" s="19" t="s">
        <v>25</v>
      </c>
      <c r="B120" s="19" t="s">
        <v>26</v>
      </c>
      <c r="C120" s="19">
        <v>2013</v>
      </c>
      <c r="D120" s="19">
        <v>35275820000</v>
      </c>
      <c r="E120" s="19">
        <v>7265892332</v>
      </c>
      <c r="F120" s="19">
        <v>10739.8911620948</v>
      </c>
      <c r="G120" s="19">
        <f t="shared" si="1"/>
        <v>4.8549879888311009</v>
      </c>
      <c r="H120" s="19">
        <v>100</v>
      </c>
      <c r="I120" s="19">
        <v>51689280000</v>
      </c>
      <c r="J120" s="19">
        <f>Table1[[#This Row],[Population, total]]*Table1[[#This Row],[GDP per capita (current US$)]]</f>
        <v>78034892841179.172</v>
      </c>
    </row>
    <row r="121" spans="1:10" x14ac:dyDescent="0.3">
      <c r="A121" s="19" t="s">
        <v>25</v>
      </c>
      <c r="B121" s="19" t="s">
        <v>26</v>
      </c>
      <c r="C121" s="19">
        <v>2014</v>
      </c>
      <c r="D121" s="19">
        <v>35465695000</v>
      </c>
      <c r="E121" s="19">
        <v>7354068030</v>
      </c>
      <c r="F121" s="19">
        <v>10885.7966024868</v>
      </c>
      <c r="G121" s="19">
        <f t="shared" si="1"/>
        <v>4.8225954472167158</v>
      </c>
      <c r="H121" s="19">
        <v>100</v>
      </c>
      <c r="I121" s="19">
        <v>52086366000</v>
      </c>
      <c r="J121" s="19">
        <f>Table1[[#This Row],[Population, total]]*Table1[[#This Row],[GDP per capita (current US$)]]</f>
        <v>80054888775430.797</v>
      </c>
    </row>
    <row r="122" spans="1:10" x14ac:dyDescent="0.3">
      <c r="A122" s="19" t="s">
        <v>25</v>
      </c>
      <c r="B122" s="19" t="s">
        <v>26</v>
      </c>
      <c r="C122" s="19">
        <v>2015</v>
      </c>
      <c r="D122" s="19">
        <v>35403526000</v>
      </c>
      <c r="E122" s="19">
        <v>7441677465</v>
      </c>
      <c r="F122" s="19">
        <v>10161.9445773234</v>
      </c>
      <c r="G122" s="19">
        <f t="shared" si="1"/>
        <v>4.7574657953816599</v>
      </c>
      <c r="H122" s="19">
        <v>100</v>
      </c>
      <c r="I122" s="19">
        <v>52119314000</v>
      </c>
      <c r="J122" s="19">
        <f>Table1[[#This Row],[Population, total]]*Table1[[#This Row],[GDP per capita (current US$)]]</f>
        <v>75621913961646.5</v>
      </c>
    </row>
    <row r="123" spans="1:10" x14ac:dyDescent="0.3">
      <c r="A123" s="19" t="s">
        <v>25</v>
      </c>
      <c r="B123" s="19" t="s">
        <v>26</v>
      </c>
      <c r="C123" s="19">
        <v>2016</v>
      </c>
      <c r="D123" s="19">
        <v>35392830000</v>
      </c>
      <c r="E123" s="19">
        <v>7528879985</v>
      </c>
      <c r="F123" s="19">
        <v>10204.9287763386</v>
      </c>
      <c r="G123" s="19">
        <f t="shared" si="1"/>
        <v>4.7009422477864087</v>
      </c>
      <c r="H123" s="19">
        <v>100</v>
      </c>
      <c r="I123" s="19">
        <v>51013095000</v>
      </c>
      <c r="J123" s="19">
        <f>Table1[[#This Row],[Population, total]]*Table1[[#This Row],[GDP per capita (current US$)]]</f>
        <v>76831684012526.234</v>
      </c>
    </row>
    <row r="124" spans="1:10" x14ac:dyDescent="0.3">
      <c r="A124" s="19" t="s">
        <v>25</v>
      </c>
      <c r="B124" s="19" t="s">
        <v>26</v>
      </c>
      <c r="C124" s="19">
        <v>2017</v>
      </c>
      <c r="D124" s="19">
        <v>35974610000</v>
      </c>
      <c r="E124" s="19">
        <v>7614523410</v>
      </c>
      <c r="F124" s="19">
        <v>10747.764306505</v>
      </c>
      <c r="G124" s="19">
        <f t="shared" si="1"/>
        <v>4.7244729660631508</v>
      </c>
      <c r="H124" s="19">
        <v>100</v>
      </c>
      <c r="I124" s="19">
        <v>51702665000</v>
      </c>
      <c r="J124" s="19">
        <f>Table1[[#This Row],[Population, total]]*Table1[[#This Row],[GDP per capita (current US$)]]</f>
        <v>81839102917044.734</v>
      </c>
    </row>
    <row r="125" spans="1:10" x14ac:dyDescent="0.3">
      <c r="A125" s="19" t="s">
        <v>25</v>
      </c>
      <c r="B125" s="19" t="s">
        <v>26</v>
      </c>
      <c r="C125" s="19">
        <v>2018</v>
      </c>
      <c r="D125" s="19">
        <v>36734005000</v>
      </c>
      <c r="E125" s="19">
        <v>7697233736</v>
      </c>
      <c r="F125" s="19">
        <v>11309.3830773178</v>
      </c>
      <c r="G125" s="19">
        <f t="shared" si="1"/>
        <v>4.7723644961169462</v>
      </c>
      <c r="H125" s="19">
        <v>100</v>
      </c>
      <c r="I125" s="19">
        <v>52139290000</v>
      </c>
      <c r="J125" s="19">
        <f>Table1[[#This Row],[Population, total]]*Table1[[#This Row],[GDP per capita (current US$)]]</f>
        <v>87050964956078.063</v>
      </c>
    </row>
    <row r="126" spans="1:10" x14ac:dyDescent="0.3">
      <c r="A126" s="19" t="s">
        <v>25</v>
      </c>
      <c r="B126" s="19" t="s">
        <v>26</v>
      </c>
      <c r="C126" s="19">
        <v>2019</v>
      </c>
      <c r="D126" s="19">
        <v>37086570000</v>
      </c>
      <c r="E126" s="19">
        <v>7778008621</v>
      </c>
      <c r="F126" s="19">
        <v>11376.081813447599</v>
      </c>
      <c r="G126" s="19">
        <f t="shared" si="1"/>
        <v>4.7681317683126805</v>
      </c>
      <c r="H126" s="19">
        <v>100</v>
      </c>
      <c r="I126" s="19">
        <v>52571340000</v>
      </c>
      <c r="J126" s="19">
        <f>Table1[[#This Row],[Population, total]]*Table1[[#This Row],[GDP per capita (current US$)]]</f>
        <v>88483262418196.734</v>
      </c>
    </row>
    <row r="127" spans="1:10" x14ac:dyDescent="0.3">
      <c r="A127" s="19" t="s">
        <v>25</v>
      </c>
      <c r="B127" s="19" t="s">
        <v>26</v>
      </c>
      <c r="C127" s="19">
        <v>2020</v>
      </c>
      <c r="D127" s="19">
        <v>35158230000</v>
      </c>
      <c r="E127" s="19">
        <v>7854748424</v>
      </c>
      <c r="F127" s="19">
        <v>10937.6846205191</v>
      </c>
      <c r="G127" s="19">
        <f t="shared" si="1"/>
        <v>4.4760478760306128</v>
      </c>
      <c r="H127" s="19">
        <v>100</v>
      </c>
      <c r="I127" s="19">
        <v>50601267000</v>
      </c>
      <c r="J127" s="19">
        <f>Table1[[#This Row],[Population, total]]*Table1[[#This Row],[GDP per capita (current US$)]]</f>
        <v>85912761035231.438</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9A145-4DCF-47D9-B5FD-75706B646F20}">
  <dimension ref="A1:AC401"/>
  <sheetViews>
    <sheetView tabSelected="1" zoomScale="53" workbookViewId="0">
      <selection activeCell="AE43" sqref="AE43"/>
    </sheetView>
  </sheetViews>
  <sheetFormatPr defaultRowHeight="14.4" x14ac:dyDescent="0.3"/>
  <cols>
    <col min="1" max="1" width="7.44140625" style="1" customWidth="1"/>
    <col min="2" max="27" width="8.88671875" style="1"/>
    <col min="28" max="28" width="14.44140625" style="1" customWidth="1"/>
    <col min="29" max="16384" width="8.88671875" style="1"/>
  </cols>
  <sheetData>
    <row r="1" spans="1:29" s="57" customFormat="1" ht="35.4" customHeight="1" thickBot="1" x14ac:dyDescent="0.35"/>
    <row r="2" spans="1:29" s="29" customFormat="1" ht="33" customHeight="1" thickTop="1" x14ac:dyDescent="0.5">
      <c r="A2" s="40"/>
      <c r="B2" s="71" t="s">
        <v>47</v>
      </c>
      <c r="C2" s="72"/>
      <c r="D2" s="72"/>
      <c r="E2" s="72"/>
      <c r="F2" s="72"/>
      <c r="G2" s="72"/>
      <c r="H2" s="72"/>
      <c r="I2" s="72"/>
      <c r="J2" s="72"/>
      <c r="K2" s="72"/>
      <c r="L2" s="72"/>
      <c r="M2" s="72"/>
      <c r="N2" s="72"/>
      <c r="O2" s="72"/>
      <c r="P2" s="72"/>
      <c r="Q2" s="72"/>
      <c r="R2" s="72"/>
      <c r="S2" s="72"/>
      <c r="T2" s="72"/>
      <c r="U2" s="72"/>
      <c r="V2" s="72"/>
      <c r="W2" s="72"/>
      <c r="X2" s="72"/>
      <c r="Y2" s="72"/>
      <c r="Z2" s="72"/>
      <c r="AA2" s="72"/>
      <c r="AB2" s="73"/>
    </row>
    <row r="3" spans="1:29" ht="19.2" customHeight="1" x14ac:dyDescent="0.5">
      <c r="A3" s="40"/>
      <c r="B3" s="74" t="s">
        <v>48</v>
      </c>
      <c r="C3" s="74"/>
      <c r="D3" s="74"/>
      <c r="E3" s="74"/>
      <c r="F3" s="74"/>
      <c r="G3" s="74"/>
      <c r="H3" s="74"/>
      <c r="I3" s="74"/>
      <c r="J3" s="74"/>
      <c r="K3" s="74"/>
      <c r="L3" s="74"/>
      <c r="M3" s="74"/>
      <c r="N3" s="74"/>
      <c r="O3" s="74"/>
      <c r="P3" s="74"/>
      <c r="Q3" s="74"/>
      <c r="R3" s="74"/>
      <c r="S3" s="74"/>
      <c r="T3" s="74"/>
      <c r="U3" s="74"/>
      <c r="V3" s="74"/>
      <c r="W3" s="74"/>
      <c r="X3" s="74"/>
      <c r="Y3" s="74"/>
      <c r="Z3" s="74"/>
      <c r="AA3" s="74"/>
      <c r="AB3" s="75"/>
    </row>
    <row r="4" spans="1:29" s="31" customFormat="1" ht="42" customHeight="1" x14ac:dyDescent="0.5">
      <c r="A4" s="40"/>
      <c r="B4" s="76" t="s">
        <v>49</v>
      </c>
      <c r="C4" s="76"/>
      <c r="D4" s="76"/>
      <c r="E4" s="76"/>
      <c r="F4" s="76"/>
      <c r="G4" s="76"/>
      <c r="H4" s="76"/>
      <c r="I4" s="48" t="s">
        <v>50</v>
      </c>
      <c r="J4" s="48"/>
      <c r="K4" s="48"/>
      <c r="L4" s="48"/>
      <c r="M4" s="48"/>
      <c r="N4" s="48"/>
      <c r="O4" s="48"/>
      <c r="P4" s="49" t="s">
        <v>51</v>
      </c>
      <c r="Q4" s="49"/>
      <c r="R4" s="49"/>
      <c r="S4" s="49"/>
      <c r="T4" s="49"/>
      <c r="U4" s="49"/>
      <c r="V4" s="49"/>
      <c r="W4" s="50" t="s">
        <v>52</v>
      </c>
      <c r="X4" s="50"/>
      <c r="Y4" s="50"/>
      <c r="Z4" s="50"/>
      <c r="AA4" s="50"/>
      <c r="AB4" s="51"/>
    </row>
    <row r="5" spans="1:29" s="30" customFormat="1" ht="22.2" customHeight="1" x14ac:dyDescent="0.5">
      <c r="A5" s="40"/>
      <c r="B5" s="52" t="s">
        <v>53</v>
      </c>
      <c r="C5" s="52"/>
      <c r="D5" s="52"/>
      <c r="E5" s="52"/>
      <c r="F5" s="52"/>
      <c r="G5" s="52"/>
      <c r="H5" s="52"/>
      <c r="I5" s="53" t="s">
        <v>54</v>
      </c>
      <c r="J5" s="53"/>
      <c r="K5" s="53"/>
      <c r="L5" s="53"/>
      <c r="M5" s="53"/>
      <c r="N5" s="53"/>
      <c r="O5" s="53"/>
      <c r="P5" s="54" t="s">
        <v>55</v>
      </c>
      <c r="Q5" s="54"/>
      <c r="R5" s="54"/>
      <c r="S5" s="54"/>
      <c r="T5" s="54"/>
      <c r="U5" s="54"/>
      <c r="V5" s="54"/>
      <c r="W5" s="55" t="s">
        <v>56</v>
      </c>
      <c r="X5" s="55"/>
      <c r="Y5" s="55"/>
      <c r="Z5" s="55"/>
      <c r="AA5" s="55"/>
      <c r="AB5" s="56"/>
    </row>
    <row r="6" spans="1:29" ht="31.8" customHeight="1" x14ac:dyDescent="0.5">
      <c r="A6" s="40"/>
      <c r="B6" s="45" t="s">
        <v>57</v>
      </c>
      <c r="C6" s="45"/>
      <c r="D6" s="45"/>
      <c r="E6" s="45"/>
      <c r="F6" s="45"/>
      <c r="G6" s="45"/>
      <c r="H6" s="45"/>
      <c r="I6" s="45" t="s">
        <v>58</v>
      </c>
      <c r="J6" s="45"/>
      <c r="K6" s="45"/>
      <c r="L6" s="45"/>
      <c r="M6" s="45"/>
      <c r="N6" s="45"/>
      <c r="O6" s="45"/>
      <c r="P6" s="45" t="s">
        <v>59</v>
      </c>
      <c r="Q6" s="45"/>
      <c r="R6" s="45"/>
      <c r="S6" s="45"/>
      <c r="T6" s="45"/>
      <c r="U6" s="45"/>
      <c r="V6" s="45"/>
      <c r="W6" s="45" t="s">
        <v>60</v>
      </c>
      <c r="X6" s="45"/>
      <c r="Y6" s="45"/>
      <c r="Z6" s="45"/>
      <c r="AA6" s="45"/>
      <c r="AB6" s="46"/>
    </row>
    <row r="7" spans="1:29" ht="14.4" customHeight="1" x14ac:dyDescent="0.5">
      <c r="A7" s="40"/>
      <c r="B7" s="66"/>
      <c r="C7" s="66"/>
      <c r="D7" s="66"/>
      <c r="E7" s="66"/>
      <c r="F7" s="66"/>
      <c r="G7" s="66"/>
      <c r="H7" s="66"/>
      <c r="I7" s="67"/>
      <c r="J7" s="67"/>
      <c r="K7" s="67"/>
      <c r="L7" s="67"/>
      <c r="M7" s="67"/>
      <c r="N7" s="67"/>
      <c r="O7" s="67"/>
      <c r="P7" s="68"/>
      <c r="Q7" s="68"/>
      <c r="R7" s="68"/>
      <c r="S7" s="68"/>
      <c r="T7" s="68"/>
      <c r="U7" s="68"/>
      <c r="V7" s="68"/>
      <c r="W7" s="69"/>
      <c r="X7" s="69"/>
      <c r="Y7" s="69"/>
      <c r="Z7" s="69"/>
      <c r="AA7" s="69"/>
      <c r="AB7" s="70"/>
    </row>
    <row r="8" spans="1:29" ht="14.4" customHeight="1" x14ac:dyDescent="0.5">
      <c r="A8" s="40"/>
      <c r="B8" s="61"/>
      <c r="C8" s="61"/>
      <c r="D8" s="61"/>
      <c r="E8" s="61"/>
      <c r="F8" s="61"/>
      <c r="G8" s="61"/>
      <c r="H8" s="61"/>
      <c r="I8" s="61"/>
      <c r="J8" s="61"/>
      <c r="K8" s="61"/>
      <c r="L8" s="61"/>
      <c r="M8" s="61"/>
      <c r="N8" s="61"/>
      <c r="O8" s="61"/>
      <c r="P8" s="61"/>
      <c r="Q8" s="61"/>
      <c r="R8" s="61"/>
      <c r="S8" s="61"/>
      <c r="T8" s="61"/>
      <c r="U8" s="61"/>
      <c r="V8" s="61"/>
      <c r="W8" s="61"/>
      <c r="X8" s="61"/>
      <c r="Y8" s="61"/>
      <c r="Z8" s="61"/>
      <c r="AA8" s="61"/>
      <c r="AB8" s="62"/>
    </row>
    <row r="9" spans="1:29" ht="21" customHeight="1" x14ac:dyDescent="0.5">
      <c r="A9" s="40"/>
      <c r="B9" s="64" t="s">
        <v>61</v>
      </c>
      <c r="C9" s="64"/>
      <c r="D9" s="64"/>
      <c r="E9" s="64"/>
      <c r="F9" s="64"/>
      <c r="G9" s="64"/>
      <c r="H9" s="64"/>
      <c r="I9" s="64"/>
      <c r="J9" s="64"/>
      <c r="K9" s="64"/>
      <c r="L9" s="64"/>
      <c r="M9" s="64"/>
      <c r="N9" s="64"/>
      <c r="O9" s="64"/>
      <c r="P9" s="47" t="s">
        <v>62</v>
      </c>
      <c r="Q9" s="47"/>
      <c r="R9" s="47"/>
      <c r="S9" s="47"/>
      <c r="T9" s="47"/>
      <c r="U9" s="47"/>
      <c r="V9" s="47"/>
      <c r="W9" s="47"/>
      <c r="X9" s="47"/>
      <c r="Y9" s="47"/>
      <c r="Z9" s="47"/>
      <c r="AA9" s="47"/>
      <c r="AB9" s="65"/>
    </row>
    <row r="10" spans="1:29" ht="14.4" customHeight="1" x14ac:dyDescent="0.5">
      <c r="A10" s="40"/>
      <c r="B10" s="61"/>
      <c r="C10" s="61"/>
      <c r="D10" s="61"/>
      <c r="E10" s="61"/>
      <c r="F10" s="61"/>
      <c r="G10" s="61"/>
      <c r="H10" s="61"/>
      <c r="I10" s="61"/>
      <c r="J10" s="61"/>
      <c r="K10" s="61"/>
      <c r="L10" s="61"/>
      <c r="M10" s="61"/>
      <c r="N10" s="61"/>
      <c r="O10" s="61"/>
      <c r="P10" s="61"/>
      <c r="Q10" s="61"/>
      <c r="R10" s="61"/>
      <c r="S10" s="61"/>
      <c r="T10" s="61"/>
      <c r="U10" s="61"/>
      <c r="V10" s="61"/>
      <c r="W10" s="61"/>
      <c r="X10" s="61"/>
      <c r="Y10" s="61"/>
      <c r="Z10" s="61"/>
      <c r="AA10" s="61"/>
      <c r="AB10" s="62"/>
    </row>
    <row r="11" spans="1:29" ht="14.4" customHeight="1" x14ac:dyDescent="0.5">
      <c r="A11" s="40"/>
      <c r="B11" s="61"/>
      <c r="C11" s="61"/>
      <c r="D11" s="61"/>
      <c r="E11" s="61"/>
      <c r="F11" s="61"/>
      <c r="G11" s="61"/>
      <c r="H11" s="61"/>
      <c r="I11" s="61"/>
      <c r="J11" s="61"/>
      <c r="K11" s="61"/>
      <c r="L11" s="61"/>
      <c r="M11" s="61"/>
      <c r="N11" s="61"/>
      <c r="O11" s="61"/>
      <c r="P11" s="61"/>
      <c r="Q11" s="61"/>
      <c r="R11" s="61"/>
      <c r="S11" s="61"/>
      <c r="T11" s="61"/>
      <c r="U11" s="61"/>
      <c r="V11" s="61"/>
      <c r="W11" s="61"/>
      <c r="X11" s="61"/>
      <c r="Y11" s="61"/>
      <c r="Z11" s="61"/>
      <c r="AA11" s="61"/>
      <c r="AB11" s="62"/>
    </row>
    <row r="12" spans="1:29" ht="14.4" customHeight="1" x14ac:dyDescent="0.5">
      <c r="A12" s="40"/>
      <c r="B12" s="61"/>
      <c r="C12" s="61"/>
      <c r="D12" s="61"/>
      <c r="E12" s="61"/>
      <c r="F12" s="61"/>
      <c r="G12" s="61"/>
      <c r="H12" s="61"/>
      <c r="I12" s="61"/>
      <c r="J12" s="61"/>
      <c r="K12" s="61"/>
      <c r="L12" s="61"/>
      <c r="M12" s="61"/>
      <c r="N12" s="61"/>
      <c r="O12" s="61"/>
      <c r="P12" s="61"/>
      <c r="Q12" s="61"/>
      <c r="R12" s="61"/>
      <c r="S12" s="61"/>
      <c r="T12" s="61"/>
      <c r="U12" s="61"/>
      <c r="V12" s="61"/>
      <c r="W12" s="61"/>
      <c r="X12" s="61"/>
      <c r="Y12" s="61"/>
      <c r="Z12" s="61"/>
      <c r="AA12" s="61"/>
      <c r="AB12" s="62"/>
    </row>
    <row r="13" spans="1:29" ht="15.6" customHeight="1" x14ac:dyDescent="0.5">
      <c r="A13" s="40"/>
      <c r="B13" s="61"/>
      <c r="C13" s="61"/>
      <c r="D13" s="61"/>
      <c r="E13" s="61"/>
      <c r="F13" s="61"/>
      <c r="G13" s="61"/>
      <c r="H13" s="61"/>
      <c r="I13" s="61"/>
      <c r="J13" s="61"/>
      <c r="K13" s="61"/>
      <c r="L13" s="61"/>
      <c r="M13" s="61"/>
      <c r="N13" s="61"/>
      <c r="O13" s="61"/>
      <c r="P13" s="61"/>
      <c r="Q13" s="61"/>
      <c r="R13" s="61"/>
      <c r="S13" s="61"/>
      <c r="T13" s="61"/>
      <c r="U13" s="61"/>
      <c r="V13" s="61"/>
      <c r="W13" s="61"/>
      <c r="X13" s="61"/>
      <c r="Y13" s="61"/>
      <c r="Z13" s="61"/>
      <c r="AA13" s="61"/>
      <c r="AB13" s="62"/>
      <c r="AC13" s="31"/>
    </row>
    <row r="14" spans="1:29" ht="14.4" customHeight="1" x14ac:dyDescent="0.5">
      <c r="A14" s="40"/>
      <c r="B14" s="61"/>
      <c r="C14" s="61"/>
      <c r="D14" s="61"/>
      <c r="E14" s="61"/>
      <c r="F14" s="61"/>
      <c r="G14" s="61"/>
      <c r="H14" s="61"/>
      <c r="I14" s="61"/>
      <c r="J14" s="61"/>
      <c r="K14" s="61"/>
      <c r="L14" s="61"/>
      <c r="M14" s="61"/>
      <c r="N14" s="61"/>
      <c r="O14" s="61"/>
      <c r="P14" s="61"/>
      <c r="Q14" s="61"/>
      <c r="R14" s="61"/>
      <c r="S14" s="61"/>
      <c r="T14" s="61"/>
      <c r="U14" s="61"/>
      <c r="V14" s="61"/>
      <c r="W14" s="61"/>
      <c r="X14" s="61"/>
      <c r="Y14" s="61"/>
      <c r="Z14" s="61"/>
      <c r="AA14" s="61"/>
      <c r="AB14" s="62"/>
    </row>
    <row r="15" spans="1:29" ht="14.4" customHeight="1" x14ac:dyDescent="0.5">
      <c r="A15" s="40"/>
      <c r="B15" s="61"/>
      <c r="C15" s="61"/>
      <c r="D15" s="61"/>
      <c r="E15" s="61"/>
      <c r="F15" s="61"/>
      <c r="G15" s="61"/>
      <c r="H15" s="61"/>
      <c r="I15" s="61"/>
      <c r="J15" s="61"/>
      <c r="K15" s="61"/>
      <c r="L15" s="61"/>
      <c r="M15" s="61"/>
      <c r="N15" s="61"/>
      <c r="O15" s="61"/>
      <c r="P15" s="61"/>
      <c r="Q15" s="61"/>
      <c r="R15" s="61"/>
      <c r="S15" s="61"/>
      <c r="T15" s="61"/>
      <c r="U15" s="61"/>
      <c r="V15" s="61"/>
      <c r="W15" s="61"/>
      <c r="X15" s="61"/>
      <c r="Y15" s="61"/>
      <c r="Z15" s="61"/>
      <c r="AA15" s="61"/>
      <c r="AB15" s="62"/>
    </row>
    <row r="16" spans="1:29" ht="14.4" customHeight="1" x14ac:dyDescent="0.5">
      <c r="A16" s="40"/>
      <c r="B16" s="61"/>
      <c r="C16" s="61"/>
      <c r="D16" s="61"/>
      <c r="E16" s="61"/>
      <c r="F16" s="61"/>
      <c r="G16" s="61"/>
      <c r="H16" s="61"/>
      <c r="I16" s="61"/>
      <c r="J16" s="61"/>
      <c r="K16" s="61"/>
      <c r="L16" s="61"/>
      <c r="M16" s="61"/>
      <c r="N16" s="61"/>
      <c r="O16" s="61"/>
      <c r="P16" s="61"/>
      <c r="Q16" s="61"/>
      <c r="R16" s="61"/>
      <c r="S16" s="61"/>
      <c r="T16" s="61"/>
      <c r="U16" s="61"/>
      <c r="V16" s="61"/>
      <c r="W16" s="61"/>
      <c r="X16" s="61"/>
      <c r="Y16" s="61"/>
      <c r="Z16" s="61"/>
      <c r="AA16" s="61"/>
      <c r="AB16" s="62"/>
    </row>
    <row r="17" spans="1:28" ht="14.4" customHeight="1" x14ac:dyDescent="0.5">
      <c r="A17" s="40"/>
      <c r="B17" s="61"/>
      <c r="C17" s="61"/>
      <c r="D17" s="61"/>
      <c r="E17" s="61"/>
      <c r="F17" s="61"/>
      <c r="G17" s="61"/>
      <c r="H17" s="61"/>
      <c r="I17" s="61"/>
      <c r="J17" s="61"/>
      <c r="K17" s="61"/>
      <c r="L17" s="61"/>
      <c r="M17" s="61"/>
      <c r="N17" s="61"/>
      <c r="O17" s="61"/>
      <c r="P17" s="61"/>
      <c r="Q17" s="61"/>
      <c r="R17" s="61"/>
      <c r="S17" s="61"/>
      <c r="T17" s="61"/>
      <c r="U17" s="61"/>
      <c r="V17" s="61"/>
      <c r="W17" s="61"/>
      <c r="X17" s="61"/>
      <c r="Y17" s="61"/>
      <c r="Z17" s="61"/>
      <c r="AA17" s="61"/>
      <c r="AB17" s="62"/>
    </row>
    <row r="18" spans="1:28" ht="14.4" customHeight="1" x14ac:dyDescent="0.5">
      <c r="A18" s="40"/>
      <c r="B18" s="61"/>
      <c r="C18" s="61"/>
      <c r="D18" s="61"/>
      <c r="E18" s="61"/>
      <c r="F18" s="61"/>
      <c r="G18" s="61"/>
      <c r="H18" s="61"/>
      <c r="I18" s="61"/>
      <c r="J18" s="61"/>
      <c r="K18" s="61"/>
      <c r="L18" s="61"/>
      <c r="M18" s="61"/>
      <c r="N18" s="61"/>
      <c r="O18" s="61"/>
      <c r="P18" s="61"/>
      <c r="Q18" s="61"/>
      <c r="R18" s="61"/>
      <c r="S18" s="61"/>
      <c r="T18" s="61"/>
      <c r="U18" s="61"/>
      <c r="V18" s="61"/>
      <c r="W18" s="61"/>
      <c r="X18" s="61"/>
      <c r="Y18" s="61"/>
      <c r="Z18" s="61"/>
      <c r="AA18" s="61"/>
      <c r="AB18" s="62"/>
    </row>
    <row r="19" spans="1:28" ht="14.4" customHeight="1" x14ac:dyDescent="0.5">
      <c r="A19" s="40"/>
      <c r="B19" s="61"/>
      <c r="C19" s="61"/>
      <c r="D19" s="61"/>
      <c r="E19" s="61"/>
      <c r="F19" s="61"/>
      <c r="G19" s="61"/>
      <c r="H19" s="61"/>
      <c r="I19" s="61"/>
      <c r="J19" s="61"/>
      <c r="K19" s="61"/>
      <c r="L19" s="61"/>
      <c r="M19" s="61"/>
      <c r="N19" s="61"/>
      <c r="O19" s="61"/>
      <c r="P19" s="61"/>
      <c r="Q19" s="61"/>
      <c r="R19" s="61"/>
      <c r="S19" s="61"/>
      <c r="T19" s="61"/>
      <c r="U19" s="61"/>
      <c r="V19" s="61"/>
      <c r="W19" s="61"/>
      <c r="X19" s="61"/>
      <c r="Y19" s="61"/>
      <c r="Z19" s="61"/>
      <c r="AA19" s="61"/>
      <c r="AB19" s="62"/>
    </row>
    <row r="20" spans="1:28" ht="14.4" customHeight="1" x14ac:dyDescent="0.5">
      <c r="A20" s="40"/>
      <c r="B20" s="61"/>
      <c r="C20" s="61"/>
      <c r="D20" s="61"/>
      <c r="E20" s="61"/>
      <c r="F20" s="61"/>
      <c r="G20" s="61"/>
      <c r="H20" s="61"/>
      <c r="I20" s="61"/>
      <c r="J20" s="61"/>
      <c r="K20" s="61"/>
      <c r="L20" s="61"/>
      <c r="M20" s="61"/>
      <c r="N20" s="61"/>
      <c r="O20" s="61"/>
      <c r="P20" s="61"/>
      <c r="Q20" s="61"/>
      <c r="R20" s="61"/>
      <c r="S20" s="61"/>
      <c r="T20" s="61"/>
      <c r="U20" s="61"/>
      <c r="V20" s="61"/>
      <c r="W20" s="61"/>
      <c r="X20" s="61"/>
      <c r="Y20" s="61"/>
      <c r="Z20" s="61"/>
      <c r="AA20" s="61"/>
      <c r="AB20" s="62"/>
    </row>
    <row r="21" spans="1:28" ht="14.4" customHeight="1" x14ac:dyDescent="0.5">
      <c r="A21" s="40"/>
      <c r="B21" s="61"/>
      <c r="C21" s="61"/>
      <c r="D21" s="61"/>
      <c r="E21" s="61"/>
      <c r="F21" s="61"/>
      <c r="G21" s="61"/>
      <c r="H21" s="61"/>
      <c r="I21" s="61"/>
      <c r="J21" s="61"/>
      <c r="K21" s="61"/>
      <c r="L21" s="61"/>
      <c r="M21" s="61"/>
      <c r="N21" s="61"/>
      <c r="O21" s="61"/>
      <c r="P21" s="61"/>
      <c r="Q21" s="61"/>
      <c r="R21" s="61"/>
      <c r="S21" s="61"/>
      <c r="T21" s="61"/>
      <c r="U21" s="61"/>
      <c r="V21" s="61"/>
      <c r="W21" s="61"/>
      <c r="X21" s="61"/>
      <c r="Y21" s="61"/>
      <c r="Z21" s="61"/>
      <c r="AA21" s="61"/>
      <c r="AB21" s="62"/>
    </row>
    <row r="22" spans="1:28" ht="14.4" customHeight="1" x14ac:dyDescent="0.5">
      <c r="A22" s="40"/>
      <c r="B22" s="61"/>
      <c r="C22" s="61"/>
      <c r="D22" s="61"/>
      <c r="E22" s="61"/>
      <c r="F22" s="61"/>
      <c r="G22" s="61"/>
      <c r="H22" s="61"/>
      <c r="I22" s="61"/>
      <c r="J22" s="61"/>
      <c r="K22" s="61"/>
      <c r="L22" s="61"/>
      <c r="M22" s="61"/>
      <c r="N22" s="61"/>
      <c r="O22" s="61"/>
      <c r="P22" s="61"/>
      <c r="Q22" s="61"/>
      <c r="R22" s="61"/>
      <c r="S22" s="61"/>
      <c r="T22" s="61"/>
      <c r="U22" s="61"/>
      <c r="V22" s="61"/>
      <c r="W22" s="61"/>
      <c r="X22" s="61"/>
      <c r="Y22" s="61"/>
      <c r="Z22" s="61"/>
      <c r="AA22" s="61"/>
      <c r="AB22" s="62"/>
    </row>
    <row r="23" spans="1:28" ht="14.4" customHeight="1" x14ac:dyDescent="0.5">
      <c r="A23" s="40"/>
      <c r="B23" s="61"/>
      <c r="C23" s="61"/>
      <c r="D23" s="61"/>
      <c r="E23" s="61"/>
      <c r="F23" s="61"/>
      <c r="G23" s="61"/>
      <c r="H23" s="61"/>
      <c r="I23" s="61"/>
      <c r="J23" s="61"/>
      <c r="K23" s="61"/>
      <c r="L23" s="61"/>
      <c r="M23" s="61"/>
      <c r="N23" s="61"/>
      <c r="O23" s="61"/>
      <c r="P23" s="61"/>
      <c r="Q23" s="61"/>
      <c r="R23" s="61"/>
      <c r="S23" s="61"/>
      <c r="T23" s="61"/>
      <c r="U23" s="61"/>
      <c r="V23" s="61"/>
      <c r="W23" s="61"/>
      <c r="X23" s="61"/>
      <c r="Y23" s="61"/>
      <c r="Z23" s="61"/>
      <c r="AA23" s="61"/>
      <c r="AB23" s="62"/>
    </row>
    <row r="24" spans="1:28" ht="14.4" customHeight="1" x14ac:dyDescent="0.5">
      <c r="A24" s="40"/>
      <c r="B24" s="61"/>
      <c r="C24" s="61"/>
      <c r="D24" s="61"/>
      <c r="E24" s="61"/>
      <c r="F24" s="61"/>
      <c r="G24" s="61"/>
      <c r="H24" s="61"/>
      <c r="I24" s="61"/>
      <c r="J24" s="61"/>
      <c r="K24" s="61"/>
      <c r="L24" s="61"/>
      <c r="M24" s="61"/>
      <c r="N24" s="61"/>
      <c r="O24" s="61"/>
      <c r="P24" s="61"/>
      <c r="Q24" s="61"/>
      <c r="R24" s="61"/>
      <c r="S24" s="61"/>
      <c r="T24" s="61"/>
      <c r="U24" s="61"/>
      <c r="V24" s="61"/>
      <c r="W24" s="61"/>
      <c r="X24" s="61"/>
      <c r="Y24" s="61"/>
      <c r="Z24" s="61"/>
      <c r="AA24" s="61"/>
      <c r="AB24" s="62"/>
    </row>
    <row r="25" spans="1:28" ht="14.4" customHeight="1" x14ac:dyDescent="0.5">
      <c r="A25" s="40"/>
      <c r="B25" s="61"/>
      <c r="C25" s="61"/>
      <c r="D25" s="61"/>
      <c r="E25" s="61"/>
      <c r="F25" s="61"/>
      <c r="G25" s="61"/>
      <c r="H25" s="61"/>
      <c r="I25" s="61"/>
      <c r="J25" s="61"/>
      <c r="K25" s="61"/>
      <c r="L25" s="61"/>
      <c r="M25" s="61"/>
      <c r="N25" s="61"/>
      <c r="O25" s="61"/>
      <c r="P25" s="61"/>
      <c r="Q25" s="61"/>
      <c r="R25" s="61"/>
      <c r="S25" s="61"/>
      <c r="T25" s="61"/>
      <c r="U25" s="61"/>
      <c r="V25" s="61"/>
      <c r="W25" s="61"/>
      <c r="X25" s="61"/>
      <c r="Y25" s="61"/>
      <c r="Z25" s="61"/>
      <c r="AA25" s="61"/>
      <c r="AB25" s="62"/>
    </row>
    <row r="26" spans="1:28" s="28" customFormat="1" ht="26.4" customHeight="1" x14ac:dyDescent="0.5">
      <c r="A26" s="40"/>
      <c r="B26" s="47" t="s">
        <v>65</v>
      </c>
      <c r="C26" s="47"/>
      <c r="D26" s="47"/>
      <c r="E26" s="47"/>
      <c r="F26" s="47"/>
      <c r="G26" s="47"/>
      <c r="H26" s="47"/>
      <c r="I26" s="47"/>
      <c r="J26" s="47"/>
      <c r="K26" s="47"/>
      <c r="L26" s="47"/>
      <c r="M26" s="47"/>
      <c r="N26" s="47"/>
      <c r="O26" s="47"/>
      <c r="P26" s="64" t="s">
        <v>63</v>
      </c>
      <c r="Q26" s="64"/>
      <c r="R26" s="64"/>
      <c r="S26" s="64"/>
      <c r="T26" s="64"/>
      <c r="U26" s="64"/>
      <c r="V26" s="64"/>
      <c r="W26" s="64"/>
      <c r="X26" s="64"/>
      <c r="Y26" s="64"/>
      <c r="Z26" s="64"/>
      <c r="AA26" s="33"/>
      <c r="AB26" s="36"/>
    </row>
    <row r="27" spans="1:28" ht="14.4" customHeight="1" x14ac:dyDescent="0.5">
      <c r="A27" s="40"/>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2"/>
    </row>
    <row r="28" spans="1:28" ht="14.4" customHeight="1" x14ac:dyDescent="0.5">
      <c r="A28" s="40"/>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2"/>
    </row>
    <row r="29" spans="1:28" ht="14.4" customHeight="1" x14ac:dyDescent="0.5">
      <c r="A29" s="40"/>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2"/>
    </row>
    <row r="30" spans="1:28" ht="14.4" customHeight="1" x14ac:dyDescent="0.5">
      <c r="A30" s="40"/>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2"/>
    </row>
    <row r="31" spans="1:28" ht="14.4" customHeight="1" x14ac:dyDescent="0.5">
      <c r="A31" s="40"/>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2"/>
    </row>
    <row r="32" spans="1:28" ht="14.4" customHeight="1" x14ac:dyDescent="0.5">
      <c r="A32" s="40"/>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2"/>
    </row>
    <row r="33" spans="1:28" ht="14.4" customHeight="1" x14ac:dyDescent="0.5">
      <c r="A33" s="40"/>
      <c r="B33" s="63"/>
      <c r="C33" s="63"/>
      <c r="D33" s="63"/>
      <c r="E33" s="63"/>
      <c r="F33" s="63"/>
      <c r="G33" s="63"/>
      <c r="H33" s="63"/>
      <c r="I33" s="63"/>
      <c r="J33" s="63"/>
      <c r="K33" s="63"/>
      <c r="L33" s="63"/>
      <c r="M33" s="63"/>
      <c r="N33" s="63"/>
      <c r="O33" s="63"/>
      <c r="P33" s="63"/>
      <c r="Q33" s="63"/>
      <c r="R33" s="63"/>
      <c r="S33" s="63"/>
      <c r="T33" s="63"/>
      <c r="U33" s="63"/>
      <c r="V33" s="63"/>
      <c r="W33" s="63"/>
      <c r="X33" s="63"/>
      <c r="Y33" s="63"/>
      <c r="Z33" s="63"/>
      <c r="AA33" s="63"/>
      <c r="AB33" s="62"/>
    </row>
    <row r="34" spans="1:28" ht="14.4" customHeight="1" x14ac:dyDescent="0.5">
      <c r="A34" s="40"/>
      <c r="B34" s="63"/>
      <c r="C34" s="63"/>
      <c r="D34" s="63"/>
      <c r="E34" s="63"/>
      <c r="F34" s="63"/>
      <c r="G34" s="63"/>
      <c r="H34" s="63"/>
      <c r="I34" s="63"/>
      <c r="J34" s="63"/>
      <c r="K34" s="63"/>
      <c r="L34" s="63"/>
      <c r="M34" s="63"/>
      <c r="N34" s="63"/>
      <c r="O34" s="63"/>
      <c r="P34" s="63"/>
      <c r="Q34" s="63"/>
      <c r="R34" s="63"/>
      <c r="S34" s="63"/>
      <c r="T34" s="63"/>
      <c r="U34" s="63"/>
      <c r="V34" s="63"/>
      <c r="W34" s="63"/>
      <c r="X34" s="63"/>
      <c r="Y34" s="63"/>
      <c r="Z34" s="63"/>
      <c r="AA34" s="63"/>
      <c r="AB34" s="62"/>
    </row>
    <row r="35" spans="1:28" ht="14.4" customHeight="1" x14ac:dyDescent="0.5">
      <c r="A35" s="40"/>
      <c r="B35" s="63"/>
      <c r="C35" s="63"/>
      <c r="D35" s="63"/>
      <c r="E35" s="63"/>
      <c r="F35" s="63"/>
      <c r="G35" s="63"/>
      <c r="H35" s="63"/>
      <c r="I35" s="63"/>
      <c r="J35" s="63"/>
      <c r="K35" s="63"/>
      <c r="L35" s="63"/>
      <c r="M35" s="63"/>
      <c r="N35" s="63"/>
      <c r="O35" s="63"/>
      <c r="P35" s="63"/>
      <c r="Q35" s="63"/>
      <c r="R35" s="63"/>
      <c r="S35" s="63"/>
      <c r="T35" s="63"/>
      <c r="U35" s="63"/>
      <c r="V35" s="63"/>
      <c r="W35" s="63"/>
      <c r="X35" s="63"/>
      <c r="Y35" s="63"/>
      <c r="Z35" s="63"/>
      <c r="AA35" s="63"/>
      <c r="AB35" s="62"/>
    </row>
    <row r="36" spans="1:28" ht="14.4" customHeight="1" x14ac:dyDescent="0.5">
      <c r="A36" s="40"/>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2"/>
    </row>
    <row r="37" spans="1:28" ht="14.4" customHeight="1" x14ac:dyDescent="0.5">
      <c r="A37" s="40"/>
      <c r="B37" s="63"/>
      <c r="C37" s="63"/>
      <c r="D37" s="63"/>
      <c r="E37" s="63"/>
      <c r="F37" s="63"/>
      <c r="G37" s="63"/>
      <c r="H37" s="63"/>
      <c r="I37" s="63"/>
      <c r="J37" s="63"/>
      <c r="K37" s="63"/>
      <c r="L37" s="63"/>
      <c r="M37" s="63"/>
      <c r="N37" s="63"/>
      <c r="O37" s="63"/>
      <c r="P37" s="63"/>
      <c r="Q37" s="63"/>
      <c r="R37" s="63"/>
      <c r="S37" s="63"/>
      <c r="T37" s="63"/>
      <c r="U37" s="63"/>
      <c r="V37" s="63"/>
      <c r="W37" s="63"/>
      <c r="X37" s="63"/>
      <c r="Y37" s="63"/>
      <c r="Z37" s="63"/>
      <c r="AA37" s="63"/>
      <c r="AB37" s="62"/>
    </row>
    <row r="38" spans="1:28" ht="14.4" customHeight="1" x14ac:dyDescent="0.5">
      <c r="A38" s="40"/>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2"/>
    </row>
    <row r="39" spans="1:28" ht="14.4" customHeight="1" x14ac:dyDescent="0.5">
      <c r="A39" s="40"/>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2"/>
    </row>
    <row r="40" spans="1:28" ht="14.4" customHeight="1" x14ac:dyDescent="0.5">
      <c r="A40" s="40"/>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2"/>
    </row>
    <row r="41" spans="1:28" ht="14.4" customHeight="1" x14ac:dyDescent="0.5">
      <c r="A41" s="40"/>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2"/>
    </row>
    <row r="42" spans="1:28" ht="14.4" customHeight="1" x14ac:dyDescent="0.5">
      <c r="A42" s="40"/>
      <c r="B42" s="63"/>
      <c r="C42" s="63"/>
      <c r="D42" s="63"/>
      <c r="E42" s="63"/>
      <c r="F42" s="63"/>
      <c r="G42" s="63"/>
      <c r="H42" s="63"/>
      <c r="I42" s="63"/>
      <c r="J42" s="63"/>
      <c r="K42" s="63"/>
      <c r="L42" s="63"/>
      <c r="M42" s="63"/>
      <c r="N42" s="63"/>
      <c r="O42" s="63"/>
      <c r="P42" s="63"/>
      <c r="Q42" s="63"/>
      <c r="R42" s="63"/>
      <c r="S42" s="63"/>
      <c r="T42" s="63"/>
      <c r="U42" s="63"/>
      <c r="V42" s="63"/>
      <c r="W42" s="63"/>
      <c r="X42" s="63"/>
      <c r="Y42" s="63"/>
      <c r="Z42" s="63"/>
      <c r="AA42" s="63"/>
      <c r="AB42" s="62"/>
    </row>
    <row r="43" spans="1:28" ht="22.8" customHeight="1" x14ac:dyDescent="0.5">
      <c r="A43" s="40"/>
      <c r="B43" s="38"/>
      <c r="C43" s="32"/>
      <c r="D43" s="32"/>
      <c r="E43" s="32"/>
      <c r="F43" s="32"/>
      <c r="G43" s="32"/>
      <c r="H43" s="64" t="s">
        <v>64</v>
      </c>
      <c r="I43" s="64"/>
      <c r="J43" s="64"/>
      <c r="K43" s="64"/>
      <c r="L43" s="64"/>
      <c r="M43" s="64"/>
      <c r="N43" s="64"/>
      <c r="O43" s="64"/>
      <c r="P43" s="64"/>
      <c r="Q43" s="64"/>
      <c r="R43" s="64"/>
      <c r="S43" s="64"/>
      <c r="T43" s="64"/>
      <c r="U43" s="64"/>
      <c r="V43" s="64"/>
      <c r="W43" s="64"/>
      <c r="X43" s="32"/>
      <c r="Y43" s="32"/>
      <c r="Z43" s="32"/>
      <c r="AA43" s="32"/>
      <c r="AB43" s="35"/>
    </row>
    <row r="44" spans="1:28" ht="14.4" customHeight="1" x14ac:dyDescent="0.5">
      <c r="A44" s="40"/>
      <c r="B44" s="38"/>
      <c r="C44" s="32"/>
      <c r="D44" s="32"/>
      <c r="E44" s="32"/>
      <c r="F44" s="32"/>
      <c r="G44" s="32"/>
      <c r="H44" s="32"/>
      <c r="I44" s="32"/>
      <c r="J44" s="32"/>
      <c r="K44" s="32"/>
      <c r="L44" s="32"/>
      <c r="M44" s="32"/>
      <c r="N44" s="32"/>
      <c r="O44" s="32"/>
      <c r="P44" s="32"/>
      <c r="Q44" s="32"/>
      <c r="R44" s="32"/>
      <c r="S44" s="32"/>
      <c r="T44" s="32"/>
      <c r="U44" s="32"/>
      <c r="V44" s="32"/>
      <c r="W44" s="32"/>
      <c r="X44" s="32"/>
      <c r="Y44" s="32"/>
      <c r="Z44" s="32"/>
      <c r="AA44" s="32"/>
      <c r="AB44" s="35"/>
    </row>
    <row r="45" spans="1:28" ht="14.4" customHeight="1" x14ac:dyDescent="0.5">
      <c r="A45" s="40"/>
      <c r="B45" s="38"/>
      <c r="C45" s="32"/>
      <c r="D45" s="32"/>
      <c r="E45" s="32"/>
      <c r="F45" s="32"/>
      <c r="G45" s="32"/>
      <c r="H45" s="32"/>
      <c r="I45" s="32"/>
      <c r="J45" s="32"/>
      <c r="K45" s="32"/>
      <c r="L45" s="32"/>
      <c r="M45" s="32"/>
      <c r="N45" s="32"/>
      <c r="O45" s="32"/>
      <c r="P45" s="32"/>
      <c r="Q45" s="32"/>
      <c r="R45" s="32"/>
      <c r="S45" s="32"/>
      <c r="T45" s="32"/>
      <c r="U45" s="32"/>
      <c r="V45" s="32"/>
      <c r="W45" s="32"/>
      <c r="X45" s="32"/>
      <c r="Y45" s="32"/>
      <c r="Z45" s="32"/>
      <c r="AA45" s="32"/>
      <c r="AB45" s="35"/>
    </row>
    <row r="46" spans="1:28" ht="14.4" customHeight="1" x14ac:dyDescent="0.5">
      <c r="A46" s="40"/>
      <c r="B46" s="38"/>
      <c r="C46" s="32"/>
      <c r="D46" s="32"/>
      <c r="E46" s="32"/>
      <c r="F46" s="32"/>
      <c r="G46" s="32"/>
      <c r="H46" s="32"/>
      <c r="I46" s="32"/>
      <c r="J46" s="32"/>
      <c r="K46" s="32"/>
      <c r="L46" s="32"/>
      <c r="M46" s="32"/>
      <c r="N46" s="32"/>
      <c r="O46" s="32"/>
      <c r="P46" s="32"/>
      <c r="Q46" s="32"/>
      <c r="R46" s="32"/>
      <c r="S46" s="32"/>
      <c r="T46" s="32"/>
      <c r="U46" s="32"/>
      <c r="V46" s="32"/>
      <c r="W46" s="32"/>
      <c r="X46" s="32"/>
      <c r="Y46" s="32"/>
      <c r="Z46" s="32"/>
      <c r="AA46" s="32"/>
      <c r="AB46" s="35"/>
    </row>
    <row r="47" spans="1:28" ht="14.4" customHeight="1" x14ac:dyDescent="0.5">
      <c r="A47" s="40"/>
      <c r="B47" s="38"/>
      <c r="C47" s="32"/>
      <c r="D47" s="32"/>
      <c r="E47" s="32"/>
      <c r="F47" s="32"/>
      <c r="G47" s="32"/>
      <c r="H47" s="32"/>
      <c r="I47" s="32"/>
      <c r="J47" s="32"/>
      <c r="K47" s="32"/>
      <c r="L47" s="32"/>
      <c r="M47" s="32"/>
      <c r="N47" s="32"/>
      <c r="O47" s="32"/>
      <c r="P47" s="32"/>
      <c r="Q47" s="32"/>
      <c r="R47" s="32"/>
      <c r="S47" s="32"/>
      <c r="T47" s="32"/>
      <c r="U47" s="32"/>
      <c r="V47" s="32"/>
      <c r="W47" s="32"/>
      <c r="X47" s="32"/>
      <c r="Y47" s="32"/>
      <c r="Z47" s="32"/>
      <c r="AA47" s="32"/>
      <c r="AB47" s="35"/>
    </row>
    <row r="48" spans="1:28" ht="14.4" customHeight="1" x14ac:dyDescent="0.5">
      <c r="A48" s="40"/>
      <c r="B48" s="38"/>
      <c r="C48" s="32"/>
      <c r="D48" s="32"/>
      <c r="E48" s="32"/>
      <c r="F48" s="32"/>
      <c r="G48" s="32"/>
      <c r="H48" s="32"/>
      <c r="I48" s="32"/>
      <c r="J48" s="32"/>
      <c r="K48" s="32"/>
      <c r="L48" s="32"/>
      <c r="M48" s="32"/>
      <c r="N48" s="32"/>
      <c r="O48" s="32"/>
      <c r="P48" s="32"/>
      <c r="Q48" s="32"/>
      <c r="R48" s="32"/>
      <c r="S48" s="32"/>
      <c r="T48" s="32"/>
      <c r="U48" s="32"/>
      <c r="V48" s="32"/>
      <c r="W48" s="32"/>
      <c r="X48" s="32"/>
      <c r="Y48" s="32"/>
      <c r="Z48" s="32"/>
      <c r="AA48" s="32"/>
      <c r="AB48" s="35"/>
    </row>
    <row r="49" spans="1:28" ht="14.4" customHeight="1" x14ac:dyDescent="0.5">
      <c r="A49" s="40"/>
      <c r="B49" s="38"/>
      <c r="C49" s="32"/>
      <c r="D49" s="32"/>
      <c r="E49" s="32"/>
      <c r="F49" s="32"/>
      <c r="G49" s="32"/>
      <c r="H49" s="32"/>
      <c r="I49" s="32"/>
      <c r="J49" s="32"/>
      <c r="K49" s="32"/>
      <c r="L49" s="32"/>
      <c r="M49" s="32"/>
      <c r="N49" s="32"/>
      <c r="O49" s="32"/>
      <c r="P49" s="32"/>
      <c r="Q49" s="32"/>
      <c r="R49" s="32"/>
      <c r="S49" s="32"/>
      <c r="T49" s="32"/>
      <c r="U49" s="32"/>
      <c r="V49" s="32"/>
      <c r="W49" s="32"/>
      <c r="X49" s="32"/>
      <c r="Y49" s="32"/>
      <c r="Z49" s="32"/>
      <c r="AA49" s="32"/>
      <c r="AB49" s="35"/>
    </row>
    <row r="50" spans="1:28" ht="14.4" customHeight="1" x14ac:dyDescent="0.5">
      <c r="A50" s="40"/>
      <c r="B50" s="38"/>
      <c r="C50" s="32"/>
      <c r="D50" s="32"/>
      <c r="E50" s="32"/>
      <c r="F50" s="32"/>
      <c r="G50" s="32"/>
      <c r="H50" s="32"/>
      <c r="I50" s="32"/>
      <c r="J50" s="32"/>
      <c r="K50" s="32"/>
      <c r="L50" s="32"/>
      <c r="M50" s="32"/>
      <c r="N50" s="32"/>
      <c r="O50" s="32"/>
      <c r="P50" s="32"/>
      <c r="Q50" s="32"/>
      <c r="R50" s="32"/>
      <c r="S50" s="32"/>
      <c r="T50" s="32"/>
      <c r="U50" s="32"/>
      <c r="V50" s="32"/>
      <c r="W50" s="32"/>
      <c r="X50" s="32"/>
      <c r="Y50" s="32"/>
      <c r="Z50" s="32"/>
      <c r="AA50" s="32"/>
      <c r="AB50" s="35"/>
    </row>
    <row r="51" spans="1:28" ht="14.4" customHeight="1" x14ac:dyDescent="0.5">
      <c r="A51" s="40"/>
      <c r="B51" s="38"/>
      <c r="C51" s="32"/>
      <c r="D51" s="32"/>
      <c r="E51" s="32"/>
      <c r="F51" s="32"/>
      <c r="G51" s="32"/>
      <c r="H51" s="32"/>
      <c r="I51" s="32"/>
      <c r="J51" s="32"/>
      <c r="K51" s="32"/>
      <c r="L51" s="32"/>
      <c r="M51" s="32"/>
      <c r="N51" s="32"/>
      <c r="O51" s="32"/>
      <c r="P51" s="32"/>
      <c r="Q51" s="32"/>
      <c r="R51" s="32"/>
      <c r="S51" s="32"/>
      <c r="T51" s="32"/>
      <c r="U51" s="32"/>
      <c r="V51" s="32"/>
      <c r="W51" s="32"/>
      <c r="X51" s="32"/>
      <c r="Y51" s="32"/>
      <c r="Z51" s="32"/>
      <c r="AA51" s="32"/>
      <c r="AB51" s="35"/>
    </row>
    <row r="52" spans="1:28" ht="14.4" customHeight="1" x14ac:dyDescent="0.5">
      <c r="A52" s="40"/>
      <c r="B52" s="38"/>
      <c r="C52" s="32"/>
      <c r="D52" s="32"/>
      <c r="E52" s="32"/>
      <c r="F52" s="32"/>
      <c r="G52" s="32"/>
      <c r="H52" s="32"/>
      <c r="I52" s="32"/>
      <c r="J52" s="32"/>
      <c r="K52" s="32"/>
      <c r="L52" s="32"/>
      <c r="M52" s="32"/>
      <c r="N52" s="32"/>
      <c r="O52" s="32"/>
      <c r="P52" s="32"/>
      <c r="Q52" s="32"/>
      <c r="R52" s="32"/>
      <c r="S52" s="32"/>
      <c r="T52" s="32"/>
      <c r="U52" s="32"/>
      <c r="V52" s="32"/>
      <c r="W52" s="32"/>
      <c r="X52" s="32"/>
      <c r="Y52" s="32"/>
      <c r="Z52" s="32"/>
      <c r="AA52" s="32"/>
      <c r="AB52" s="35"/>
    </row>
    <row r="53" spans="1:28" ht="14.4" customHeight="1" x14ac:dyDescent="0.5">
      <c r="A53" s="40"/>
      <c r="B53" s="38"/>
      <c r="C53" s="32"/>
      <c r="D53" s="32"/>
      <c r="E53" s="32"/>
      <c r="F53" s="32"/>
      <c r="G53" s="32"/>
      <c r="H53" s="32"/>
      <c r="I53" s="32"/>
      <c r="J53" s="32"/>
      <c r="K53" s="32"/>
      <c r="L53" s="32"/>
      <c r="M53" s="32"/>
      <c r="N53" s="32"/>
      <c r="O53" s="32"/>
      <c r="P53" s="32"/>
      <c r="Q53" s="32"/>
      <c r="R53" s="32"/>
      <c r="S53" s="32"/>
      <c r="T53" s="32"/>
      <c r="U53" s="32"/>
      <c r="V53" s="32"/>
      <c r="W53" s="32"/>
      <c r="X53" s="32"/>
      <c r="Y53" s="32"/>
      <c r="Z53" s="32"/>
      <c r="AA53" s="32"/>
      <c r="AB53" s="35"/>
    </row>
    <row r="54" spans="1:28" ht="14.4" customHeight="1" x14ac:dyDescent="0.5">
      <c r="A54" s="40"/>
      <c r="B54" s="38"/>
      <c r="C54" s="32"/>
      <c r="D54" s="32"/>
      <c r="E54" s="32"/>
      <c r="F54" s="32"/>
      <c r="G54" s="32"/>
      <c r="H54" s="32"/>
      <c r="I54" s="32"/>
      <c r="J54" s="32"/>
      <c r="K54" s="32"/>
      <c r="L54" s="32"/>
      <c r="M54" s="32"/>
      <c r="N54" s="32"/>
      <c r="O54" s="32"/>
      <c r="P54" s="32"/>
      <c r="Q54" s="32"/>
      <c r="R54" s="32"/>
      <c r="S54" s="32"/>
      <c r="T54" s="32"/>
      <c r="U54" s="32"/>
      <c r="V54" s="32"/>
      <c r="W54" s="32"/>
      <c r="X54" s="32"/>
      <c r="Y54" s="32"/>
      <c r="Z54" s="32"/>
      <c r="AA54" s="32"/>
      <c r="AB54" s="35"/>
    </row>
    <row r="55" spans="1:28" ht="14.4" customHeight="1" x14ac:dyDescent="0.5">
      <c r="A55" s="40"/>
      <c r="B55" s="38"/>
      <c r="C55" s="32"/>
      <c r="D55" s="32"/>
      <c r="E55" s="32"/>
      <c r="F55" s="32"/>
      <c r="G55" s="32"/>
      <c r="H55" s="32"/>
      <c r="I55" s="32"/>
      <c r="J55" s="32"/>
      <c r="K55" s="32"/>
      <c r="L55" s="32"/>
      <c r="M55" s="32"/>
      <c r="N55" s="32"/>
      <c r="O55" s="32"/>
      <c r="P55" s="32"/>
      <c r="Q55" s="32"/>
      <c r="R55" s="32"/>
      <c r="S55" s="32"/>
      <c r="T55" s="32"/>
      <c r="U55" s="32"/>
      <c r="V55" s="32"/>
      <c r="W55" s="32"/>
      <c r="X55" s="32"/>
      <c r="Y55" s="32"/>
      <c r="Z55" s="32"/>
      <c r="AA55" s="32"/>
      <c r="AB55" s="35"/>
    </row>
    <row r="56" spans="1:28" ht="14.4" customHeight="1" x14ac:dyDescent="0.5">
      <c r="A56" s="40"/>
      <c r="B56" s="38"/>
      <c r="C56" s="32"/>
      <c r="D56" s="32"/>
      <c r="E56" s="32"/>
      <c r="F56" s="32"/>
      <c r="G56" s="32"/>
      <c r="H56" s="32"/>
      <c r="I56" s="32"/>
      <c r="J56" s="32"/>
      <c r="K56" s="32"/>
      <c r="L56" s="32"/>
      <c r="M56" s="32"/>
      <c r="N56" s="32"/>
      <c r="O56" s="32"/>
      <c r="P56" s="32"/>
      <c r="Q56" s="32"/>
      <c r="R56" s="32"/>
      <c r="S56" s="32"/>
      <c r="T56" s="32"/>
      <c r="U56" s="32"/>
      <c r="V56" s="32"/>
      <c r="W56" s="32"/>
      <c r="X56" s="32"/>
      <c r="Y56" s="32"/>
      <c r="Z56" s="32"/>
      <c r="AA56" s="32"/>
      <c r="AB56" s="35"/>
    </row>
    <row r="57" spans="1:28" ht="14.4" customHeight="1" x14ac:dyDescent="0.5">
      <c r="A57" s="40"/>
      <c r="B57" s="38"/>
      <c r="C57" s="32"/>
      <c r="D57" s="32"/>
      <c r="E57" s="32"/>
      <c r="F57" s="32"/>
      <c r="G57" s="32"/>
      <c r="H57" s="32"/>
      <c r="I57" s="32"/>
      <c r="J57" s="32"/>
      <c r="K57" s="32"/>
      <c r="L57" s="32"/>
      <c r="M57" s="32"/>
      <c r="N57" s="32"/>
      <c r="O57" s="32"/>
      <c r="P57" s="32"/>
      <c r="Q57" s="32"/>
      <c r="R57" s="32"/>
      <c r="S57" s="32"/>
      <c r="T57" s="32"/>
      <c r="U57" s="32"/>
      <c r="V57" s="32"/>
      <c r="W57" s="32"/>
      <c r="X57" s="32"/>
      <c r="Y57" s="32"/>
      <c r="Z57" s="32"/>
      <c r="AA57" s="32"/>
      <c r="AB57" s="35"/>
    </row>
    <row r="58" spans="1:28" ht="14.4" customHeight="1" x14ac:dyDescent="0.5">
      <c r="A58" s="40"/>
      <c r="B58" s="38"/>
      <c r="C58" s="32"/>
      <c r="D58" s="32"/>
      <c r="E58" s="32"/>
      <c r="F58" s="32"/>
      <c r="G58" s="32"/>
      <c r="H58" s="32"/>
      <c r="I58" s="32"/>
      <c r="J58" s="32"/>
      <c r="K58" s="32"/>
      <c r="L58" s="32"/>
      <c r="M58" s="32"/>
      <c r="N58" s="32"/>
      <c r="O58" s="32"/>
      <c r="P58" s="32"/>
      <c r="Q58" s="32"/>
      <c r="R58" s="32"/>
      <c r="S58" s="32"/>
      <c r="T58" s="32"/>
      <c r="U58" s="32"/>
      <c r="V58" s="32"/>
      <c r="W58" s="32"/>
      <c r="X58" s="32"/>
      <c r="Y58" s="32"/>
      <c r="Z58" s="32"/>
      <c r="AA58" s="32"/>
      <c r="AB58" s="35"/>
    </row>
    <row r="59" spans="1:28" ht="14.4" customHeight="1" x14ac:dyDescent="0.5">
      <c r="A59" s="40"/>
      <c r="B59" s="38"/>
      <c r="C59" s="32"/>
      <c r="D59" s="32"/>
      <c r="E59" s="32"/>
      <c r="F59" s="32"/>
      <c r="G59" s="32"/>
      <c r="H59" s="32"/>
      <c r="I59" s="32"/>
      <c r="J59" s="32"/>
      <c r="K59" s="32"/>
      <c r="L59" s="32"/>
      <c r="M59" s="32"/>
      <c r="N59" s="32"/>
      <c r="O59" s="32"/>
      <c r="P59" s="32"/>
      <c r="Q59" s="32"/>
      <c r="R59" s="32"/>
      <c r="S59" s="32"/>
      <c r="T59" s="32"/>
      <c r="U59" s="32"/>
      <c r="V59" s="32"/>
      <c r="W59" s="32"/>
      <c r="X59" s="32"/>
      <c r="Y59" s="32"/>
      <c r="Z59" s="32"/>
      <c r="AA59" s="32"/>
      <c r="AB59" s="35"/>
    </row>
    <row r="60" spans="1:28" ht="14.4" customHeight="1" x14ac:dyDescent="0.5">
      <c r="A60" s="40"/>
      <c r="B60" s="38"/>
      <c r="C60" s="32"/>
      <c r="D60" s="32"/>
      <c r="E60" s="32"/>
      <c r="F60" s="32"/>
      <c r="G60" s="32"/>
      <c r="H60" s="32"/>
      <c r="I60" s="32"/>
      <c r="J60" s="32"/>
      <c r="K60" s="32"/>
      <c r="L60" s="32"/>
      <c r="M60" s="32"/>
      <c r="N60" s="32"/>
      <c r="O60" s="32"/>
      <c r="P60" s="32"/>
      <c r="Q60" s="32"/>
      <c r="R60" s="32"/>
      <c r="S60" s="32"/>
      <c r="T60" s="32"/>
      <c r="U60" s="32"/>
      <c r="V60" s="32"/>
      <c r="W60" s="32"/>
      <c r="X60" s="32"/>
      <c r="Y60" s="32"/>
      <c r="Z60" s="32"/>
      <c r="AA60" s="32"/>
      <c r="AB60" s="35"/>
    </row>
    <row r="61" spans="1:28" ht="14.4" customHeight="1" x14ac:dyDescent="0.5">
      <c r="A61" s="40"/>
      <c r="B61" s="38"/>
      <c r="C61" s="32"/>
      <c r="D61" s="32"/>
      <c r="E61" s="32"/>
      <c r="F61" s="32"/>
      <c r="G61" s="32"/>
      <c r="H61" s="32"/>
      <c r="I61" s="32"/>
      <c r="J61" s="32"/>
      <c r="K61" s="32"/>
      <c r="L61" s="32"/>
      <c r="M61" s="32"/>
      <c r="N61" s="32"/>
      <c r="O61" s="32"/>
      <c r="P61" s="32"/>
      <c r="Q61" s="32"/>
      <c r="R61" s="32"/>
      <c r="S61" s="32"/>
      <c r="T61" s="32"/>
      <c r="U61" s="32"/>
      <c r="V61" s="32"/>
      <c r="W61" s="32"/>
      <c r="X61" s="32"/>
      <c r="Y61" s="32"/>
      <c r="Z61" s="32"/>
      <c r="AA61" s="32"/>
      <c r="AB61" s="35"/>
    </row>
    <row r="62" spans="1:28" ht="14.4" customHeight="1" x14ac:dyDescent="0.5">
      <c r="A62" s="40"/>
      <c r="B62" s="38"/>
      <c r="C62" s="32"/>
      <c r="D62" s="32"/>
      <c r="E62" s="32"/>
      <c r="F62" s="32"/>
      <c r="G62" s="32"/>
      <c r="H62" s="32"/>
      <c r="I62" s="32"/>
      <c r="J62" s="32"/>
      <c r="K62" s="32"/>
      <c r="L62" s="32"/>
      <c r="M62" s="32"/>
      <c r="N62" s="32"/>
      <c r="O62" s="32"/>
      <c r="P62" s="32"/>
      <c r="Q62" s="32"/>
      <c r="R62" s="32"/>
      <c r="S62" s="32"/>
      <c r="T62" s="32"/>
      <c r="U62" s="32"/>
      <c r="V62" s="32"/>
      <c r="W62" s="32"/>
      <c r="X62" s="32"/>
      <c r="Y62" s="32"/>
      <c r="Z62" s="32"/>
      <c r="AA62" s="32"/>
      <c r="AB62" s="35"/>
    </row>
    <row r="63" spans="1:28" ht="14.4" customHeight="1" x14ac:dyDescent="0.5">
      <c r="A63" s="40"/>
      <c r="B63" s="38"/>
      <c r="C63" s="32"/>
      <c r="D63" s="32"/>
      <c r="E63" s="32"/>
      <c r="F63" s="32"/>
      <c r="G63" s="32"/>
      <c r="H63" s="32"/>
      <c r="I63" s="32"/>
      <c r="J63" s="32"/>
      <c r="K63" s="32"/>
      <c r="L63" s="32"/>
      <c r="M63" s="32"/>
      <c r="N63" s="32"/>
      <c r="O63" s="32"/>
      <c r="P63" s="32"/>
      <c r="Q63" s="32"/>
      <c r="R63" s="32"/>
      <c r="S63" s="32"/>
      <c r="T63" s="32"/>
      <c r="U63" s="32"/>
      <c r="V63" s="32"/>
      <c r="W63" s="32"/>
      <c r="X63" s="32"/>
      <c r="Y63" s="32"/>
      <c r="Z63" s="32"/>
      <c r="AA63" s="32"/>
      <c r="AB63" s="35"/>
    </row>
    <row r="64" spans="1:28" ht="26.4" thickBot="1" x14ac:dyDescent="0.55000000000000004">
      <c r="A64" s="40"/>
      <c r="B64" s="38"/>
      <c r="C64" s="32"/>
      <c r="D64" s="32"/>
      <c r="E64" s="32"/>
      <c r="F64" s="32"/>
      <c r="G64" s="32"/>
      <c r="H64" s="32"/>
      <c r="I64" s="32"/>
      <c r="J64" s="32"/>
      <c r="K64" s="32"/>
      <c r="L64" s="32"/>
      <c r="M64" s="32"/>
      <c r="N64" s="32"/>
      <c r="O64" s="32"/>
      <c r="P64" s="32"/>
      <c r="Q64" s="32"/>
      <c r="R64" s="32"/>
      <c r="S64" s="32"/>
      <c r="T64" s="32"/>
      <c r="U64" s="32"/>
      <c r="V64" s="32"/>
      <c r="W64" s="32"/>
      <c r="X64" s="32"/>
      <c r="Y64" s="32"/>
      <c r="Z64" s="32"/>
      <c r="AA64" s="32"/>
      <c r="AB64" s="37"/>
    </row>
    <row r="65" spans="1:28" ht="30" customHeight="1" thickTop="1" thickBot="1" x14ac:dyDescent="0.55000000000000004">
      <c r="A65" s="39"/>
      <c r="B65" s="58" t="s">
        <v>66</v>
      </c>
      <c r="C65" s="59"/>
      <c r="D65" s="59"/>
      <c r="E65" s="59"/>
      <c r="F65" s="59"/>
      <c r="G65" s="59"/>
      <c r="H65" s="59"/>
      <c r="I65" s="59"/>
      <c r="J65" s="59"/>
      <c r="K65" s="59"/>
      <c r="L65" s="59"/>
      <c r="M65" s="59"/>
      <c r="N65" s="59"/>
      <c r="O65" s="59"/>
      <c r="P65" s="59"/>
      <c r="Q65" s="59"/>
      <c r="R65" s="59"/>
      <c r="S65" s="59"/>
      <c r="T65" s="59"/>
      <c r="U65" s="59"/>
      <c r="V65" s="59"/>
      <c r="W65" s="59"/>
      <c r="X65" s="59"/>
      <c r="Y65" s="59"/>
      <c r="Z65" s="59"/>
      <c r="AA65" s="59"/>
      <c r="AB65" s="60"/>
    </row>
    <row r="66" spans="1:28" ht="15" customHeight="1" thickTop="1" x14ac:dyDescent="0.5">
      <c r="A66" s="39"/>
      <c r="P66" s="34"/>
      <c r="S66" s="34"/>
    </row>
    <row r="67" spans="1:28" ht="14.4" customHeight="1" x14ac:dyDescent="0.5">
      <c r="A67" s="39"/>
    </row>
    <row r="68" spans="1:28" ht="14.4" customHeight="1" x14ac:dyDescent="0.5">
      <c r="A68" s="39"/>
    </row>
    <row r="69" spans="1:28" ht="14.4" customHeight="1" x14ac:dyDescent="0.5">
      <c r="A69" s="39"/>
    </row>
    <row r="70" spans="1:28" ht="14.4" customHeight="1" x14ac:dyDescent="0.5">
      <c r="A70" s="39"/>
    </row>
    <row r="71" spans="1:28" ht="14.4" customHeight="1" x14ac:dyDescent="0.5">
      <c r="A71" s="39"/>
    </row>
    <row r="72" spans="1:28" ht="14.4" customHeight="1" x14ac:dyDescent="0.5">
      <c r="A72" s="39"/>
    </row>
    <row r="73" spans="1:28" ht="14.4" customHeight="1" x14ac:dyDescent="0.5">
      <c r="A73" s="39"/>
    </row>
    <row r="74" spans="1:28" ht="14.4" customHeight="1" x14ac:dyDescent="0.5">
      <c r="A74" s="39"/>
    </row>
    <row r="75" spans="1:28" ht="14.4" customHeight="1" x14ac:dyDescent="0.5">
      <c r="A75" s="39"/>
    </row>
    <row r="76" spans="1:28" ht="14.4" customHeight="1" x14ac:dyDescent="0.5">
      <c r="A76" s="39"/>
    </row>
    <row r="77" spans="1:28" ht="14.4" customHeight="1" x14ac:dyDescent="0.5">
      <c r="A77" s="39"/>
    </row>
    <row r="78" spans="1:28" ht="14.4" customHeight="1" x14ac:dyDescent="0.5">
      <c r="A78" s="39"/>
    </row>
    <row r="79" spans="1:28" ht="14.4" customHeight="1" x14ac:dyDescent="0.5">
      <c r="A79" s="39"/>
    </row>
    <row r="80" spans="1:28" ht="14.4" customHeight="1" x14ac:dyDescent="0.5">
      <c r="A80" s="39"/>
    </row>
    <row r="81" spans="1:1" ht="14.4" customHeight="1" x14ac:dyDescent="0.5">
      <c r="A81" s="39"/>
    </row>
    <row r="82" spans="1:1" ht="14.4" customHeight="1" x14ac:dyDescent="0.5">
      <c r="A82" s="39"/>
    </row>
    <row r="83" spans="1:1" ht="14.4" customHeight="1" x14ac:dyDescent="0.5">
      <c r="A83" s="39"/>
    </row>
    <row r="84" spans="1:1" ht="14.4" customHeight="1" x14ac:dyDescent="0.5">
      <c r="A84" s="39"/>
    </row>
    <row r="85" spans="1:1" ht="14.4" customHeight="1" x14ac:dyDescent="0.5">
      <c r="A85" s="39"/>
    </row>
    <row r="86" spans="1:1" ht="14.4" customHeight="1" x14ac:dyDescent="0.5">
      <c r="A86" s="39"/>
    </row>
    <row r="87" spans="1:1" ht="14.4" customHeight="1" x14ac:dyDescent="0.5">
      <c r="A87" s="39"/>
    </row>
    <row r="88" spans="1:1" ht="14.4" customHeight="1" x14ac:dyDescent="0.5">
      <c r="A88" s="39"/>
    </row>
    <row r="89" spans="1:1" ht="14.4" customHeight="1" x14ac:dyDescent="0.5">
      <c r="A89" s="39"/>
    </row>
    <row r="90" spans="1:1" ht="14.4" customHeight="1" x14ac:dyDescent="0.5">
      <c r="A90" s="39"/>
    </row>
    <row r="91" spans="1:1" ht="14.4" customHeight="1" x14ac:dyDescent="0.5">
      <c r="A91" s="39"/>
    </row>
    <row r="92" spans="1:1" ht="14.4" customHeight="1" x14ac:dyDescent="0.5">
      <c r="A92" s="39"/>
    </row>
    <row r="93" spans="1:1" ht="14.4" customHeight="1" x14ac:dyDescent="0.5">
      <c r="A93" s="39"/>
    </row>
    <row r="94" spans="1:1" ht="14.4" customHeight="1" x14ac:dyDescent="0.5">
      <c r="A94" s="39"/>
    </row>
    <row r="95" spans="1:1" ht="14.4" customHeight="1" x14ac:dyDescent="0.5">
      <c r="A95" s="39"/>
    </row>
    <row r="96" spans="1:1" ht="14.4" customHeight="1" x14ac:dyDescent="0.5">
      <c r="A96" s="39"/>
    </row>
    <row r="97" spans="1:1" ht="14.4" customHeight="1" x14ac:dyDescent="0.5">
      <c r="A97" s="39"/>
    </row>
    <row r="98" spans="1:1" ht="14.4" customHeight="1" x14ac:dyDescent="0.5">
      <c r="A98" s="39"/>
    </row>
    <row r="99" spans="1:1" ht="14.4" customHeight="1" x14ac:dyDescent="0.5">
      <c r="A99" s="39"/>
    </row>
    <row r="100" spans="1:1" ht="14.4" customHeight="1" x14ac:dyDescent="0.5">
      <c r="A100" s="39"/>
    </row>
    <row r="101" spans="1:1" ht="14.4" customHeight="1" x14ac:dyDescent="0.5">
      <c r="A101" s="39"/>
    </row>
    <row r="102" spans="1:1" ht="14.4" customHeight="1" x14ac:dyDescent="0.5">
      <c r="A102" s="39"/>
    </row>
    <row r="103" spans="1:1" ht="14.4" customHeight="1" x14ac:dyDescent="0.5">
      <c r="A103" s="39"/>
    </row>
    <row r="104" spans="1:1" ht="14.4" customHeight="1" x14ac:dyDescent="0.5">
      <c r="A104" s="39"/>
    </row>
    <row r="105" spans="1:1" ht="14.4" customHeight="1" x14ac:dyDescent="0.5">
      <c r="A105" s="39"/>
    </row>
    <row r="106" spans="1:1" ht="14.4" customHeight="1" x14ac:dyDescent="0.5">
      <c r="A106" s="39"/>
    </row>
    <row r="107" spans="1:1" ht="14.4" customHeight="1" x14ac:dyDescent="0.5">
      <c r="A107" s="39"/>
    </row>
    <row r="108" spans="1:1" ht="14.4" customHeight="1" x14ac:dyDescent="0.5">
      <c r="A108" s="39"/>
    </row>
    <row r="109" spans="1:1" ht="14.4" customHeight="1" x14ac:dyDescent="0.5">
      <c r="A109" s="39"/>
    </row>
    <row r="110" spans="1:1" ht="14.4" customHeight="1" x14ac:dyDescent="0.5">
      <c r="A110" s="39"/>
    </row>
    <row r="111" spans="1:1" ht="14.4" customHeight="1" x14ac:dyDescent="0.5">
      <c r="A111" s="39"/>
    </row>
    <row r="112" spans="1:1" ht="14.4" customHeight="1" x14ac:dyDescent="0.5">
      <c r="A112" s="39"/>
    </row>
    <row r="113" spans="1:1" ht="14.4" customHeight="1" x14ac:dyDescent="0.5">
      <c r="A113" s="39"/>
    </row>
    <row r="114" spans="1:1" ht="14.4" customHeight="1" x14ac:dyDescent="0.5">
      <c r="A114" s="39"/>
    </row>
    <row r="115" spans="1:1" ht="14.4" customHeight="1" x14ac:dyDescent="0.5">
      <c r="A115" s="39"/>
    </row>
    <row r="116" spans="1:1" ht="14.4" customHeight="1" x14ac:dyDescent="0.5">
      <c r="A116" s="39"/>
    </row>
    <row r="117" spans="1:1" ht="14.4" customHeight="1" x14ac:dyDescent="0.5">
      <c r="A117" s="39"/>
    </row>
    <row r="118" spans="1:1" ht="14.4" customHeight="1" x14ac:dyDescent="0.5">
      <c r="A118" s="39"/>
    </row>
    <row r="119" spans="1:1" ht="14.4" customHeight="1" x14ac:dyDescent="0.5">
      <c r="A119" s="39"/>
    </row>
    <row r="120" spans="1:1" ht="14.4" customHeight="1" x14ac:dyDescent="0.5">
      <c r="A120" s="39"/>
    </row>
    <row r="121" spans="1:1" ht="14.4" customHeight="1" x14ac:dyDescent="0.5">
      <c r="A121" s="39"/>
    </row>
    <row r="122" spans="1:1" ht="14.4" customHeight="1" x14ac:dyDescent="0.5">
      <c r="A122" s="39"/>
    </row>
    <row r="123" spans="1:1" ht="14.4" customHeight="1" x14ac:dyDescent="0.5">
      <c r="A123" s="39"/>
    </row>
    <row r="124" spans="1:1" ht="14.4" customHeight="1" x14ac:dyDescent="0.5">
      <c r="A124" s="39"/>
    </row>
    <row r="125" spans="1:1" ht="14.4" customHeight="1" x14ac:dyDescent="0.5">
      <c r="A125" s="39"/>
    </row>
    <row r="126" spans="1:1" ht="14.4" customHeight="1" x14ac:dyDescent="0.5">
      <c r="A126" s="39"/>
    </row>
    <row r="127" spans="1:1" ht="14.4" customHeight="1" x14ac:dyDescent="0.5">
      <c r="A127" s="39"/>
    </row>
    <row r="128" spans="1:1" ht="14.4" customHeight="1" x14ac:dyDescent="0.5">
      <c r="A128" s="39"/>
    </row>
    <row r="129" spans="1:1" ht="14.4" customHeight="1" x14ac:dyDescent="0.5">
      <c r="A129" s="39"/>
    </row>
    <row r="130" spans="1:1" ht="14.4" customHeight="1" x14ac:dyDescent="0.5">
      <c r="A130" s="39"/>
    </row>
    <row r="131" spans="1:1" ht="14.4" customHeight="1" x14ac:dyDescent="0.5">
      <c r="A131" s="39"/>
    </row>
    <row r="132" spans="1:1" ht="14.4" customHeight="1" x14ac:dyDescent="0.5">
      <c r="A132" s="39"/>
    </row>
    <row r="133" spans="1:1" ht="14.4" customHeight="1" x14ac:dyDescent="0.5">
      <c r="A133" s="39"/>
    </row>
    <row r="134" spans="1:1" ht="14.4" customHeight="1" x14ac:dyDescent="0.5">
      <c r="A134" s="39"/>
    </row>
    <row r="135" spans="1:1" ht="14.4" customHeight="1" x14ac:dyDescent="0.5">
      <c r="A135" s="39"/>
    </row>
    <row r="136" spans="1:1" ht="14.4" customHeight="1" x14ac:dyDescent="0.5">
      <c r="A136" s="39"/>
    </row>
    <row r="137" spans="1:1" ht="14.4" customHeight="1" x14ac:dyDescent="0.5">
      <c r="A137" s="39"/>
    </row>
    <row r="138" spans="1:1" ht="14.4" customHeight="1" x14ac:dyDescent="0.5">
      <c r="A138" s="39"/>
    </row>
    <row r="139" spans="1:1" ht="14.4" customHeight="1" x14ac:dyDescent="0.5">
      <c r="A139" s="39"/>
    </row>
    <row r="140" spans="1:1" ht="14.4" customHeight="1" x14ac:dyDescent="0.5">
      <c r="A140" s="39"/>
    </row>
    <row r="141" spans="1:1" ht="14.4" customHeight="1" x14ac:dyDescent="0.5">
      <c r="A141" s="39"/>
    </row>
    <row r="142" spans="1:1" ht="14.4" customHeight="1" x14ac:dyDescent="0.5">
      <c r="A142" s="39"/>
    </row>
    <row r="143" spans="1:1" ht="14.4" customHeight="1" x14ac:dyDescent="0.5">
      <c r="A143" s="39"/>
    </row>
    <row r="144" spans="1:1" ht="14.4" customHeight="1" x14ac:dyDescent="0.5">
      <c r="A144" s="39"/>
    </row>
    <row r="145" spans="1:1" ht="14.4" customHeight="1" x14ac:dyDescent="0.5">
      <c r="A145" s="39"/>
    </row>
    <row r="146" spans="1:1" ht="14.4" customHeight="1" x14ac:dyDescent="0.5">
      <c r="A146" s="39"/>
    </row>
    <row r="147" spans="1:1" ht="14.4" customHeight="1" x14ac:dyDescent="0.5">
      <c r="A147" s="39"/>
    </row>
    <row r="148" spans="1:1" ht="14.4" customHeight="1" x14ac:dyDescent="0.5">
      <c r="A148" s="39"/>
    </row>
    <row r="149" spans="1:1" ht="14.4" customHeight="1" x14ac:dyDescent="0.5">
      <c r="A149" s="39"/>
    </row>
    <row r="150" spans="1:1" ht="14.4" customHeight="1" x14ac:dyDescent="0.5">
      <c r="A150" s="39"/>
    </row>
    <row r="151" spans="1:1" ht="14.4" customHeight="1" x14ac:dyDescent="0.5">
      <c r="A151" s="39"/>
    </row>
    <row r="152" spans="1:1" ht="14.4" customHeight="1" x14ac:dyDescent="0.5">
      <c r="A152" s="39"/>
    </row>
    <row r="153" spans="1:1" ht="14.4" customHeight="1" x14ac:dyDescent="0.5">
      <c r="A153" s="39"/>
    </row>
    <row r="154" spans="1:1" ht="14.4" customHeight="1" x14ac:dyDescent="0.5">
      <c r="A154" s="39"/>
    </row>
    <row r="155" spans="1:1" ht="14.4" customHeight="1" x14ac:dyDescent="0.5">
      <c r="A155" s="39"/>
    </row>
    <row r="156" spans="1:1" ht="14.4" customHeight="1" x14ac:dyDescent="0.5">
      <c r="A156" s="39"/>
    </row>
    <row r="157" spans="1:1" ht="14.4" customHeight="1" x14ac:dyDescent="0.5">
      <c r="A157" s="39"/>
    </row>
    <row r="158" spans="1:1" ht="14.4" customHeight="1" x14ac:dyDescent="0.5">
      <c r="A158" s="39"/>
    </row>
    <row r="159" spans="1:1" ht="14.4" customHeight="1" x14ac:dyDescent="0.5">
      <c r="A159" s="39"/>
    </row>
    <row r="160" spans="1:1" ht="14.4" customHeight="1" x14ac:dyDescent="0.5">
      <c r="A160" s="39"/>
    </row>
    <row r="161" spans="1:1" ht="14.4" customHeight="1" x14ac:dyDescent="0.5">
      <c r="A161" s="39"/>
    </row>
    <row r="162" spans="1:1" ht="14.4" customHeight="1" x14ac:dyDescent="0.5">
      <c r="A162" s="39"/>
    </row>
    <row r="163" spans="1:1" ht="14.4" customHeight="1" x14ac:dyDescent="0.5">
      <c r="A163" s="39"/>
    </row>
    <row r="164" spans="1:1" ht="14.4" customHeight="1" x14ac:dyDescent="0.5">
      <c r="A164" s="39"/>
    </row>
    <row r="165" spans="1:1" ht="14.4" customHeight="1" x14ac:dyDescent="0.5">
      <c r="A165" s="39"/>
    </row>
    <row r="166" spans="1:1" ht="14.4" customHeight="1" x14ac:dyDescent="0.5">
      <c r="A166" s="39"/>
    </row>
    <row r="167" spans="1:1" ht="14.4" customHeight="1" x14ac:dyDescent="0.5">
      <c r="A167" s="39"/>
    </row>
    <row r="168" spans="1:1" ht="14.4" customHeight="1" x14ac:dyDescent="0.5">
      <c r="A168" s="39"/>
    </row>
    <row r="169" spans="1:1" ht="14.4" customHeight="1" x14ac:dyDescent="0.5">
      <c r="A169" s="39"/>
    </row>
    <row r="170" spans="1:1" ht="14.4" customHeight="1" x14ac:dyDescent="0.5">
      <c r="A170" s="39"/>
    </row>
    <row r="171" spans="1:1" ht="14.4" customHeight="1" x14ac:dyDescent="0.5">
      <c r="A171" s="39"/>
    </row>
    <row r="172" spans="1:1" ht="14.4" customHeight="1" x14ac:dyDescent="0.5">
      <c r="A172" s="39"/>
    </row>
    <row r="173" spans="1:1" ht="14.4" customHeight="1" x14ac:dyDescent="0.5">
      <c r="A173" s="39"/>
    </row>
    <row r="174" spans="1:1" ht="14.4" customHeight="1" x14ac:dyDescent="0.5">
      <c r="A174" s="39"/>
    </row>
    <row r="175" spans="1:1" ht="14.4" customHeight="1" x14ac:dyDescent="0.5">
      <c r="A175" s="39"/>
    </row>
    <row r="176" spans="1:1" ht="14.4" customHeight="1" x14ac:dyDescent="0.5">
      <c r="A176" s="39"/>
    </row>
    <row r="177" spans="1:1" ht="14.4" customHeight="1" x14ac:dyDescent="0.5">
      <c r="A177" s="39"/>
    </row>
    <row r="178" spans="1:1" ht="14.4" customHeight="1" x14ac:dyDescent="0.5">
      <c r="A178" s="39"/>
    </row>
    <row r="179" spans="1:1" ht="14.4" customHeight="1" x14ac:dyDescent="0.5">
      <c r="A179" s="39"/>
    </row>
    <row r="180" spans="1:1" ht="14.4" customHeight="1" x14ac:dyDescent="0.5">
      <c r="A180" s="39"/>
    </row>
    <row r="181" spans="1:1" ht="14.4" customHeight="1" x14ac:dyDescent="0.5">
      <c r="A181" s="39"/>
    </row>
    <row r="182" spans="1:1" ht="14.4" customHeight="1" x14ac:dyDescent="0.5">
      <c r="A182" s="39"/>
    </row>
    <row r="183" spans="1:1" ht="14.4" customHeight="1" x14ac:dyDescent="0.5">
      <c r="A183" s="39"/>
    </row>
    <row r="184" spans="1:1" ht="14.4" customHeight="1" x14ac:dyDescent="0.5">
      <c r="A184" s="39"/>
    </row>
    <row r="185" spans="1:1" ht="14.4" customHeight="1" x14ac:dyDescent="0.5">
      <c r="A185" s="39"/>
    </row>
    <row r="186" spans="1:1" ht="14.4" customHeight="1" x14ac:dyDescent="0.5">
      <c r="A186" s="39"/>
    </row>
    <row r="187" spans="1:1" ht="14.4" customHeight="1" x14ac:dyDescent="0.5">
      <c r="A187" s="39"/>
    </row>
    <row r="188" spans="1:1" ht="14.4" customHeight="1" x14ac:dyDescent="0.5">
      <c r="A188" s="39"/>
    </row>
    <row r="189" spans="1:1" ht="14.4" customHeight="1" x14ac:dyDescent="0.5">
      <c r="A189" s="39"/>
    </row>
    <row r="190" spans="1:1" ht="14.4" customHeight="1" x14ac:dyDescent="0.5">
      <c r="A190" s="39"/>
    </row>
    <row r="191" spans="1:1" ht="14.4" customHeight="1" x14ac:dyDescent="0.5">
      <c r="A191" s="39"/>
    </row>
    <row r="192" spans="1:1" ht="14.4" customHeight="1" x14ac:dyDescent="0.5">
      <c r="A192" s="39"/>
    </row>
    <row r="193" spans="1:1" ht="14.4" customHeight="1" x14ac:dyDescent="0.5">
      <c r="A193" s="39"/>
    </row>
    <row r="194" spans="1:1" ht="14.4" customHeight="1" x14ac:dyDescent="0.5">
      <c r="A194" s="39"/>
    </row>
    <row r="195" spans="1:1" ht="14.4" customHeight="1" x14ac:dyDescent="0.5">
      <c r="A195" s="39"/>
    </row>
    <row r="196" spans="1:1" ht="14.4" customHeight="1" x14ac:dyDescent="0.5">
      <c r="A196" s="39"/>
    </row>
    <row r="197" spans="1:1" ht="14.4" customHeight="1" x14ac:dyDescent="0.5">
      <c r="A197" s="39"/>
    </row>
    <row r="198" spans="1:1" ht="14.4" customHeight="1" x14ac:dyDescent="0.5">
      <c r="A198" s="39"/>
    </row>
    <row r="199" spans="1:1" ht="14.4" customHeight="1" x14ac:dyDescent="0.5">
      <c r="A199" s="39"/>
    </row>
    <row r="200" spans="1:1" ht="14.4" customHeight="1" x14ac:dyDescent="0.5">
      <c r="A200" s="39"/>
    </row>
    <row r="201" spans="1:1" ht="14.4" customHeight="1" x14ac:dyDescent="0.5">
      <c r="A201" s="39"/>
    </row>
    <row r="202" spans="1:1" ht="14.4" customHeight="1" x14ac:dyDescent="0.5">
      <c r="A202" s="39"/>
    </row>
    <row r="203" spans="1:1" ht="14.4" customHeight="1" x14ac:dyDescent="0.5">
      <c r="A203" s="39"/>
    </row>
    <row r="204" spans="1:1" ht="14.4" customHeight="1" x14ac:dyDescent="0.5">
      <c r="A204" s="39"/>
    </row>
    <row r="205" spans="1:1" ht="14.4" customHeight="1" x14ac:dyDescent="0.5">
      <c r="A205" s="39"/>
    </row>
    <row r="206" spans="1:1" ht="14.4" customHeight="1" x14ac:dyDescent="0.5">
      <c r="A206" s="39"/>
    </row>
    <row r="207" spans="1:1" ht="14.4" customHeight="1" x14ac:dyDescent="0.5">
      <c r="A207" s="39"/>
    </row>
    <row r="208" spans="1:1" ht="14.4" customHeight="1" x14ac:dyDescent="0.5">
      <c r="A208" s="39"/>
    </row>
    <row r="209" spans="1:1" ht="14.4" customHeight="1" x14ac:dyDescent="0.5">
      <c r="A209" s="39"/>
    </row>
    <row r="210" spans="1:1" ht="14.4" customHeight="1" x14ac:dyDescent="0.5">
      <c r="A210" s="39"/>
    </row>
    <row r="211" spans="1:1" ht="14.4" customHeight="1" x14ac:dyDescent="0.5">
      <c r="A211" s="39"/>
    </row>
    <row r="212" spans="1:1" ht="14.4" customHeight="1" x14ac:dyDescent="0.5">
      <c r="A212" s="39"/>
    </row>
    <row r="213" spans="1:1" ht="14.4" customHeight="1" x14ac:dyDescent="0.5">
      <c r="A213" s="39"/>
    </row>
    <row r="214" spans="1:1" ht="14.4" customHeight="1" x14ac:dyDescent="0.5">
      <c r="A214" s="39"/>
    </row>
    <row r="215" spans="1:1" ht="14.4" customHeight="1" x14ac:dyDescent="0.5">
      <c r="A215" s="39"/>
    </row>
    <row r="216" spans="1:1" ht="14.4" customHeight="1" x14ac:dyDescent="0.5">
      <c r="A216" s="39"/>
    </row>
    <row r="217" spans="1:1" ht="14.4" customHeight="1" x14ac:dyDescent="0.5">
      <c r="A217" s="39"/>
    </row>
    <row r="218" spans="1:1" ht="14.4" customHeight="1" x14ac:dyDescent="0.5">
      <c r="A218" s="39"/>
    </row>
    <row r="219" spans="1:1" ht="14.4" customHeight="1" x14ac:dyDescent="0.5">
      <c r="A219" s="39"/>
    </row>
    <row r="220" spans="1:1" ht="14.4" customHeight="1" x14ac:dyDescent="0.5">
      <c r="A220" s="39"/>
    </row>
    <row r="221" spans="1:1" ht="14.4" customHeight="1" x14ac:dyDescent="0.5">
      <c r="A221" s="39"/>
    </row>
    <row r="222" spans="1:1" ht="14.4" customHeight="1" x14ac:dyDescent="0.5">
      <c r="A222" s="39"/>
    </row>
    <row r="223" spans="1:1" ht="14.4" customHeight="1" x14ac:dyDescent="0.5">
      <c r="A223" s="39"/>
    </row>
    <row r="224" spans="1:1" ht="14.4" customHeight="1" x14ac:dyDescent="0.5">
      <c r="A224" s="39"/>
    </row>
    <row r="225" spans="1:1" ht="14.4" customHeight="1" x14ac:dyDescent="0.5">
      <c r="A225" s="39"/>
    </row>
    <row r="226" spans="1:1" ht="14.4" customHeight="1" x14ac:dyDescent="0.5">
      <c r="A226" s="39"/>
    </row>
    <row r="227" spans="1:1" ht="14.4" customHeight="1" x14ac:dyDescent="0.5">
      <c r="A227" s="39"/>
    </row>
    <row r="228" spans="1:1" ht="14.4" customHeight="1" x14ac:dyDescent="0.5">
      <c r="A228" s="39"/>
    </row>
    <row r="229" spans="1:1" ht="14.4" customHeight="1" x14ac:dyDescent="0.5">
      <c r="A229" s="39"/>
    </row>
    <row r="230" spans="1:1" ht="14.4" customHeight="1" x14ac:dyDescent="0.5">
      <c r="A230" s="39"/>
    </row>
    <row r="231" spans="1:1" ht="14.4" customHeight="1" x14ac:dyDescent="0.5">
      <c r="A231" s="39"/>
    </row>
    <row r="232" spans="1:1" ht="14.4" customHeight="1" x14ac:dyDescent="0.5">
      <c r="A232" s="39"/>
    </row>
    <row r="233" spans="1:1" ht="14.4" customHeight="1" x14ac:dyDescent="0.5">
      <c r="A233" s="39"/>
    </row>
    <row r="234" spans="1:1" ht="14.4" customHeight="1" x14ac:dyDescent="0.5">
      <c r="A234" s="39"/>
    </row>
    <row r="235" spans="1:1" ht="14.4" customHeight="1" x14ac:dyDescent="0.5">
      <c r="A235" s="39"/>
    </row>
    <row r="236" spans="1:1" ht="14.4" customHeight="1" x14ac:dyDescent="0.5">
      <c r="A236" s="39"/>
    </row>
    <row r="237" spans="1:1" ht="14.4" customHeight="1" x14ac:dyDescent="0.5">
      <c r="A237" s="39"/>
    </row>
    <row r="238" spans="1:1" ht="14.4" customHeight="1" x14ac:dyDescent="0.5">
      <c r="A238" s="39"/>
    </row>
    <row r="239" spans="1:1" ht="14.4" customHeight="1" x14ac:dyDescent="0.5">
      <c r="A239" s="39"/>
    </row>
    <row r="240" spans="1:1" ht="14.4" customHeight="1" x14ac:dyDescent="0.5">
      <c r="A240" s="39"/>
    </row>
    <row r="241" spans="1:1" ht="14.4" customHeight="1" x14ac:dyDescent="0.5">
      <c r="A241" s="39"/>
    </row>
    <row r="242" spans="1:1" ht="14.4" customHeight="1" x14ac:dyDescent="0.5">
      <c r="A242" s="39"/>
    </row>
    <row r="243" spans="1:1" ht="14.4" customHeight="1" x14ac:dyDescent="0.5">
      <c r="A243" s="39"/>
    </row>
    <row r="244" spans="1:1" ht="14.4" customHeight="1" x14ac:dyDescent="0.5">
      <c r="A244" s="39"/>
    </row>
    <row r="245" spans="1:1" ht="14.4" customHeight="1" x14ac:dyDescent="0.5">
      <c r="A245" s="39"/>
    </row>
    <row r="246" spans="1:1" ht="14.4" customHeight="1" x14ac:dyDescent="0.5">
      <c r="A246" s="39"/>
    </row>
    <row r="247" spans="1:1" ht="14.4" customHeight="1" x14ac:dyDescent="0.5">
      <c r="A247" s="39"/>
    </row>
    <row r="248" spans="1:1" ht="14.4" customHeight="1" x14ac:dyDescent="0.5">
      <c r="A248" s="39"/>
    </row>
    <row r="249" spans="1:1" ht="14.4" customHeight="1" x14ac:dyDescent="0.5">
      <c r="A249" s="39"/>
    </row>
    <row r="250" spans="1:1" ht="14.4" customHeight="1" x14ac:dyDescent="0.5">
      <c r="A250" s="39"/>
    </row>
    <row r="251" spans="1:1" ht="14.4" customHeight="1" x14ac:dyDescent="0.5">
      <c r="A251" s="39"/>
    </row>
    <row r="252" spans="1:1" ht="14.4" customHeight="1" x14ac:dyDescent="0.5">
      <c r="A252" s="39"/>
    </row>
    <row r="253" spans="1:1" ht="14.4" customHeight="1" x14ac:dyDescent="0.5">
      <c r="A253" s="39"/>
    </row>
    <row r="254" spans="1:1" ht="14.4" customHeight="1" x14ac:dyDescent="0.5">
      <c r="A254" s="39"/>
    </row>
    <row r="255" spans="1:1" ht="14.4" customHeight="1" x14ac:dyDescent="0.5">
      <c r="A255" s="39"/>
    </row>
    <row r="256" spans="1:1" ht="14.4" customHeight="1" x14ac:dyDescent="0.5">
      <c r="A256" s="39"/>
    </row>
    <row r="257" spans="1:1" ht="14.4" customHeight="1" x14ac:dyDescent="0.5">
      <c r="A257" s="39"/>
    </row>
    <row r="258" spans="1:1" ht="14.4" customHeight="1" x14ac:dyDescent="0.5">
      <c r="A258" s="39"/>
    </row>
    <row r="259" spans="1:1" ht="14.4" customHeight="1" x14ac:dyDescent="0.5">
      <c r="A259" s="39"/>
    </row>
    <row r="260" spans="1:1" ht="14.4" customHeight="1" x14ac:dyDescent="0.5">
      <c r="A260" s="39"/>
    </row>
    <row r="261" spans="1:1" ht="14.4" customHeight="1" x14ac:dyDescent="0.5">
      <c r="A261" s="39"/>
    </row>
    <row r="262" spans="1:1" ht="14.4" customHeight="1" x14ac:dyDescent="0.5">
      <c r="A262" s="39"/>
    </row>
    <row r="263" spans="1:1" ht="14.4" customHeight="1" x14ac:dyDescent="0.5">
      <c r="A263" s="39"/>
    </row>
    <row r="264" spans="1:1" ht="14.4" customHeight="1" x14ac:dyDescent="0.5">
      <c r="A264" s="39"/>
    </row>
    <row r="265" spans="1:1" ht="14.4" customHeight="1" x14ac:dyDescent="0.5">
      <c r="A265" s="39"/>
    </row>
    <row r="266" spans="1:1" ht="14.4" customHeight="1" x14ac:dyDescent="0.5">
      <c r="A266" s="39"/>
    </row>
    <row r="267" spans="1:1" ht="14.4" customHeight="1" x14ac:dyDescent="0.5">
      <c r="A267" s="39"/>
    </row>
    <row r="268" spans="1:1" ht="14.4" customHeight="1" x14ac:dyDescent="0.5">
      <c r="A268" s="39"/>
    </row>
    <row r="269" spans="1:1" ht="14.4" customHeight="1" x14ac:dyDescent="0.5">
      <c r="A269" s="39"/>
    </row>
    <row r="270" spans="1:1" ht="14.4" customHeight="1" x14ac:dyDescent="0.5">
      <c r="A270" s="39"/>
    </row>
    <row r="271" spans="1:1" ht="14.4" customHeight="1" x14ac:dyDescent="0.5">
      <c r="A271" s="39"/>
    </row>
    <row r="272" spans="1:1" ht="14.4" customHeight="1" x14ac:dyDescent="0.5">
      <c r="A272" s="39"/>
    </row>
    <row r="273" spans="1:1" ht="14.4" customHeight="1" x14ac:dyDescent="0.5">
      <c r="A273" s="39"/>
    </row>
    <row r="274" spans="1:1" ht="14.4" customHeight="1" x14ac:dyDescent="0.5">
      <c r="A274" s="39"/>
    </row>
    <row r="275" spans="1:1" ht="14.4" customHeight="1" x14ac:dyDescent="0.5">
      <c r="A275" s="39"/>
    </row>
    <row r="276" spans="1:1" ht="14.4" customHeight="1" x14ac:dyDescent="0.5">
      <c r="A276" s="39"/>
    </row>
    <row r="277" spans="1:1" ht="14.4" customHeight="1" x14ac:dyDescent="0.5">
      <c r="A277" s="39"/>
    </row>
    <row r="278" spans="1:1" ht="14.4" customHeight="1" x14ac:dyDescent="0.5">
      <c r="A278" s="39"/>
    </row>
    <row r="279" spans="1:1" ht="14.4" customHeight="1" x14ac:dyDescent="0.5">
      <c r="A279" s="39"/>
    </row>
    <row r="280" spans="1:1" ht="14.4" customHeight="1" x14ac:dyDescent="0.5">
      <c r="A280" s="39"/>
    </row>
    <row r="281" spans="1:1" ht="14.4" customHeight="1" x14ac:dyDescent="0.5">
      <c r="A281" s="39"/>
    </row>
    <row r="282" spans="1:1" ht="14.4" customHeight="1" x14ac:dyDescent="0.5">
      <c r="A282" s="39"/>
    </row>
    <row r="283" spans="1:1" ht="14.4" customHeight="1" x14ac:dyDescent="0.5">
      <c r="A283" s="39"/>
    </row>
    <row r="284" spans="1:1" ht="14.4" customHeight="1" x14ac:dyDescent="0.5">
      <c r="A284" s="39"/>
    </row>
    <row r="285" spans="1:1" ht="14.4" customHeight="1" x14ac:dyDescent="0.5">
      <c r="A285" s="39"/>
    </row>
    <row r="286" spans="1:1" ht="14.4" customHeight="1" x14ac:dyDescent="0.5">
      <c r="A286" s="39"/>
    </row>
    <row r="287" spans="1:1" ht="14.4" customHeight="1" x14ac:dyDescent="0.5">
      <c r="A287" s="39"/>
    </row>
    <row r="288" spans="1:1" ht="14.4" customHeight="1" x14ac:dyDescent="0.5">
      <c r="A288" s="39"/>
    </row>
    <row r="289" spans="1:1" ht="14.4" customHeight="1" x14ac:dyDescent="0.5">
      <c r="A289" s="39"/>
    </row>
    <row r="290" spans="1:1" ht="14.4" customHeight="1" x14ac:dyDescent="0.5">
      <c r="A290" s="39"/>
    </row>
    <row r="291" spans="1:1" ht="14.4" customHeight="1" x14ac:dyDescent="0.5">
      <c r="A291" s="39"/>
    </row>
    <row r="292" spans="1:1" ht="14.4" customHeight="1" x14ac:dyDescent="0.5">
      <c r="A292" s="39"/>
    </row>
    <row r="293" spans="1:1" ht="14.4" customHeight="1" x14ac:dyDescent="0.5">
      <c r="A293" s="39"/>
    </row>
    <row r="294" spans="1:1" ht="14.4" customHeight="1" x14ac:dyDescent="0.5">
      <c r="A294" s="39"/>
    </row>
    <row r="295" spans="1:1" ht="14.4" customHeight="1" x14ac:dyDescent="0.5">
      <c r="A295" s="39"/>
    </row>
    <row r="296" spans="1:1" ht="14.4" customHeight="1" x14ac:dyDescent="0.5">
      <c r="A296" s="39"/>
    </row>
    <row r="297" spans="1:1" ht="14.4" customHeight="1" x14ac:dyDescent="0.5">
      <c r="A297" s="39"/>
    </row>
    <row r="298" spans="1:1" ht="14.4" customHeight="1" x14ac:dyDescent="0.5">
      <c r="A298" s="39"/>
    </row>
    <row r="299" spans="1:1" ht="14.4" customHeight="1" x14ac:dyDescent="0.5">
      <c r="A299" s="39"/>
    </row>
    <row r="300" spans="1:1" ht="14.4" customHeight="1" x14ac:dyDescent="0.5">
      <c r="A300" s="39"/>
    </row>
    <row r="301" spans="1:1" ht="14.4" customHeight="1" x14ac:dyDescent="0.5">
      <c r="A301" s="39"/>
    </row>
    <row r="302" spans="1:1" ht="14.4" customHeight="1" x14ac:dyDescent="0.5">
      <c r="A302" s="39"/>
    </row>
    <row r="303" spans="1:1" ht="14.4" customHeight="1" x14ac:dyDescent="0.5">
      <c r="A303" s="39"/>
    </row>
    <row r="304" spans="1:1" ht="14.4" customHeight="1" x14ac:dyDescent="0.5">
      <c r="A304" s="39"/>
    </row>
    <row r="305" spans="1:1" ht="14.4" customHeight="1" x14ac:dyDescent="0.5">
      <c r="A305" s="39"/>
    </row>
    <row r="306" spans="1:1" ht="14.4" customHeight="1" x14ac:dyDescent="0.5">
      <c r="A306" s="39"/>
    </row>
    <row r="307" spans="1:1" ht="14.4" customHeight="1" x14ac:dyDescent="0.5">
      <c r="A307" s="39"/>
    </row>
    <row r="308" spans="1:1" ht="14.4" customHeight="1" x14ac:dyDescent="0.5">
      <c r="A308" s="39"/>
    </row>
    <row r="309" spans="1:1" ht="14.4" customHeight="1" x14ac:dyDescent="0.5">
      <c r="A309" s="39"/>
    </row>
    <row r="310" spans="1:1" ht="14.4" customHeight="1" x14ac:dyDescent="0.5">
      <c r="A310" s="39"/>
    </row>
    <row r="311" spans="1:1" ht="14.4" customHeight="1" x14ac:dyDescent="0.5">
      <c r="A311" s="39"/>
    </row>
    <row r="312" spans="1:1" ht="14.4" customHeight="1" x14ac:dyDescent="0.5">
      <c r="A312" s="39"/>
    </row>
    <row r="313" spans="1:1" ht="14.4" customHeight="1" x14ac:dyDescent="0.5">
      <c r="A313" s="39"/>
    </row>
    <row r="314" spans="1:1" ht="14.4" customHeight="1" x14ac:dyDescent="0.5">
      <c r="A314" s="39"/>
    </row>
    <row r="315" spans="1:1" ht="14.4" customHeight="1" x14ac:dyDescent="0.5">
      <c r="A315" s="39"/>
    </row>
    <row r="316" spans="1:1" ht="14.4" customHeight="1" x14ac:dyDescent="0.5">
      <c r="A316" s="39"/>
    </row>
    <row r="317" spans="1:1" ht="14.4" customHeight="1" x14ac:dyDescent="0.5">
      <c r="A317" s="39"/>
    </row>
    <row r="318" spans="1:1" ht="14.4" customHeight="1" x14ac:dyDescent="0.5">
      <c r="A318" s="39"/>
    </row>
    <row r="319" spans="1:1" ht="14.4" customHeight="1" x14ac:dyDescent="0.5">
      <c r="A319" s="39"/>
    </row>
    <row r="320" spans="1:1" ht="14.4" customHeight="1" x14ac:dyDescent="0.5">
      <c r="A320" s="39"/>
    </row>
    <row r="321" spans="1:1" ht="14.4" customHeight="1" x14ac:dyDescent="0.5">
      <c r="A321" s="39"/>
    </row>
    <row r="322" spans="1:1" ht="14.4" customHeight="1" x14ac:dyDescent="0.5">
      <c r="A322" s="39"/>
    </row>
    <row r="323" spans="1:1" ht="14.4" customHeight="1" x14ac:dyDescent="0.5">
      <c r="A323" s="39"/>
    </row>
    <row r="324" spans="1:1" ht="14.4" customHeight="1" x14ac:dyDescent="0.5">
      <c r="A324" s="39"/>
    </row>
    <row r="325" spans="1:1" ht="14.4" customHeight="1" x14ac:dyDescent="0.5">
      <c r="A325" s="39"/>
    </row>
    <row r="326" spans="1:1" ht="14.4" customHeight="1" x14ac:dyDescent="0.5">
      <c r="A326" s="39"/>
    </row>
    <row r="327" spans="1:1" ht="14.4" customHeight="1" x14ac:dyDescent="0.5">
      <c r="A327" s="39"/>
    </row>
    <row r="328" spans="1:1" ht="14.4" customHeight="1" x14ac:dyDescent="0.5">
      <c r="A328" s="39"/>
    </row>
    <row r="329" spans="1:1" ht="14.4" customHeight="1" x14ac:dyDescent="0.5">
      <c r="A329" s="39"/>
    </row>
    <row r="330" spans="1:1" ht="14.4" customHeight="1" x14ac:dyDescent="0.5">
      <c r="A330" s="39"/>
    </row>
    <row r="331" spans="1:1" ht="14.4" customHeight="1" x14ac:dyDescent="0.5">
      <c r="A331" s="39"/>
    </row>
    <row r="332" spans="1:1" ht="14.4" customHeight="1" x14ac:dyDescent="0.5">
      <c r="A332" s="39"/>
    </row>
    <row r="333" spans="1:1" ht="14.4" customHeight="1" x14ac:dyDescent="0.5">
      <c r="A333" s="39"/>
    </row>
    <row r="334" spans="1:1" ht="14.4" customHeight="1" x14ac:dyDescent="0.5">
      <c r="A334" s="39"/>
    </row>
    <row r="335" spans="1:1" ht="14.4" customHeight="1" x14ac:dyDescent="0.5">
      <c r="A335" s="39"/>
    </row>
    <row r="336" spans="1:1" ht="14.4" customHeight="1" x14ac:dyDescent="0.5">
      <c r="A336" s="39"/>
    </row>
    <row r="337" spans="1:1" ht="14.4" customHeight="1" x14ac:dyDescent="0.5">
      <c r="A337" s="39"/>
    </row>
    <row r="338" spans="1:1" ht="14.4" customHeight="1" x14ac:dyDescent="0.5">
      <c r="A338" s="39"/>
    </row>
    <row r="339" spans="1:1" ht="14.4" customHeight="1" x14ac:dyDescent="0.5">
      <c r="A339" s="39"/>
    </row>
    <row r="340" spans="1:1" ht="14.4" customHeight="1" x14ac:dyDescent="0.5">
      <c r="A340" s="39"/>
    </row>
    <row r="341" spans="1:1" ht="14.4" customHeight="1" x14ac:dyDescent="0.5">
      <c r="A341" s="39"/>
    </row>
    <row r="342" spans="1:1" ht="14.4" customHeight="1" x14ac:dyDescent="0.5">
      <c r="A342" s="39"/>
    </row>
    <row r="343" spans="1:1" ht="14.4" customHeight="1" x14ac:dyDescent="0.5">
      <c r="A343" s="39"/>
    </row>
    <row r="344" spans="1:1" ht="14.4" customHeight="1" x14ac:dyDescent="0.5">
      <c r="A344" s="39"/>
    </row>
    <row r="345" spans="1:1" ht="14.4" customHeight="1" x14ac:dyDescent="0.5">
      <c r="A345" s="39"/>
    </row>
    <row r="346" spans="1:1" ht="14.4" customHeight="1" x14ac:dyDescent="0.5">
      <c r="A346" s="39"/>
    </row>
    <row r="347" spans="1:1" ht="14.4" customHeight="1" x14ac:dyDescent="0.5">
      <c r="A347" s="39"/>
    </row>
    <row r="348" spans="1:1" ht="14.4" customHeight="1" x14ac:dyDescent="0.5">
      <c r="A348" s="39"/>
    </row>
    <row r="349" spans="1:1" ht="14.4" customHeight="1" x14ac:dyDescent="0.5">
      <c r="A349" s="39"/>
    </row>
    <row r="350" spans="1:1" ht="14.4" customHeight="1" x14ac:dyDescent="0.5">
      <c r="A350" s="39"/>
    </row>
    <row r="351" spans="1:1" ht="14.4" customHeight="1" x14ac:dyDescent="0.5">
      <c r="A351" s="39"/>
    </row>
    <row r="352" spans="1:1" ht="14.4" customHeight="1" x14ac:dyDescent="0.5">
      <c r="A352" s="39"/>
    </row>
    <row r="353" spans="1:1" ht="14.4" customHeight="1" x14ac:dyDescent="0.5">
      <c r="A353" s="39"/>
    </row>
    <row r="354" spans="1:1" ht="14.4" customHeight="1" x14ac:dyDescent="0.5">
      <c r="A354" s="39"/>
    </row>
    <row r="355" spans="1:1" ht="14.4" customHeight="1" x14ac:dyDescent="0.5">
      <c r="A355" s="39"/>
    </row>
    <row r="356" spans="1:1" ht="14.4" customHeight="1" x14ac:dyDescent="0.5">
      <c r="A356" s="39"/>
    </row>
    <row r="357" spans="1:1" ht="14.4" customHeight="1" x14ac:dyDescent="0.5">
      <c r="A357" s="39"/>
    </row>
    <row r="358" spans="1:1" ht="14.4" customHeight="1" x14ac:dyDescent="0.5">
      <c r="A358" s="39"/>
    </row>
    <row r="359" spans="1:1" ht="14.4" customHeight="1" x14ac:dyDescent="0.5">
      <c r="A359" s="39"/>
    </row>
    <row r="360" spans="1:1" ht="14.4" customHeight="1" x14ac:dyDescent="0.5">
      <c r="A360" s="39"/>
    </row>
    <row r="361" spans="1:1" ht="14.4" customHeight="1" x14ac:dyDescent="0.5">
      <c r="A361" s="39"/>
    </row>
    <row r="362" spans="1:1" ht="14.4" customHeight="1" x14ac:dyDescent="0.5">
      <c r="A362" s="39"/>
    </row>
    <row r="363" spans="1:1" ht="14.4" customHeight="1" x14ac:dyDescent="0.5">
      <c r="A363" s="39"/>
    </row>
    <row r="364" spans="1:1" ht="14.4" customHeight="1" x14ac:dyDescent="0.5">
      <c r="A364" s="39"/>
    </row>
    <row r="365" spans="1:1" ht="14.4" customHeight="1" x14ac:dyDescent="0.5">
      <c r="A365" s="39"/>
    </row>
    <row r="366" spans="1:1" ht="14.4" customHeight="1" x14ac:dyDescent="0.5">
      <c r="A366" s="39"/>
    </row>
    <row r="367" spans="1:1" ht="14.4" customHeight="1" x14ac:dyDescent="0.5">
      <c r="A367" s="39"/>
    </row>
    <row r="368" spans="1:1" ht="14.4" customHeight="1" x14ac:dyDescent="0.5">
      <c r="A368" s="39"/>
    </row>
    <row r="369" spans="1:1" ht="14.4" customHeight="1" x14ac:dyDescent="0.5">
      <c r="A369" s="39"/>
    </row>
    <row r="370" spans="1:1" ht="14.4" customHeight="1" x14ac:dyDescent="0.5">
      <c r="A370" s="39"/>
    </row>
    <row r="371" spans="1:1" ht="14.4" customHeight="1" x14ac:dyDescent="0.5">
      <c r="A371" s="39"/>
    </row>
    <row r="372" spans="1:1" ht="14.4" customHeight="1" x14ac:dyDescent="0.5">
      <c r="A372" s="39"/>
    </row>
    <row r="373" spans="1:1" ht="14.4" customHeight="1" x14ac:dyDescent="0.5">
      <c r="A373" s="39"/>
    </row>
    <row r="374" spans="1:1" ht="14.4" customHeight="1" x14ac:dyDescent="0.5">
      <c r="A374" s="39"/>
    </row>
    <row r="375" spans="1:1" ht="14.4" customHeight="1" x14ac:dyDescent="0.5">
      <c r="A375" s="39"/>
    </row>
    <row r="376" spans="1:1" ht="14.4" customHeight="1" x14ac:dyDescent="0.5">
      <c r="A376" s="39"/>
    </row>
    <row r="377" spans="1:1" ht="14.4" customHeight="1" x14ac:dyDescent="0.5">
      <c r="A377" s="39"/>
    </row>
    <row r="378" spans="1:1" ht="14.4" customHeight="1" x14ac:dyDescent="0.5">
      <c r="A378" s="39"/>
    </row>
    <row r="379" spans="1:1" ht="14.4" customHeight="1" x14ac:dyDescent="0.5">
      <c r="A379" s="39"/>
    </row>
    <row r="380" spans="1:1" ht="14.4" customHeight="1" x14ac:dyDescent="0.5">
      <c r="A380" s="39"/>
    </row>
    <row r="381" spans="1:1" ht="14.4" customHeight="1" x14ac:dyDescent="0.5">
      <c r="A381" s="39"/>
    </row>
    <row r="382" spans="1:1" ht="14.4" customHeight="1" x14ac:dyDescent="0.5">
      <c r="A382" s="39"/>
    </row>
    <row r="383" spans="1:1" ht="14.4" customHeight="1" x14ac:dyDescent="0.5">
      <c r="A383" s="39"/>
    </row>
    <row r="384" spans="1:1" ht="14.4" customHeight="1" x14ac:dyDescent="0.5">
      <c r="A384" s="39"/>
    </row>
    <row r="385" spans="1:1" ht="14.4" customHeight="1" x14ac:dyDescent="0.5">
      <c r="A385" s="39"/>
    </row>
    <row r="386" spans="1:1" ht="14.4" customHeight="1" x14ac:dyDescent="0.5">
      <c r="A386" s="39"/>
    </row>
    <row r="387" spans="1:1" ht="14.4" customHeight="1" x14ac:dyDescent="0.5">
      <c r="A387" s="39"/>
    </row>
    <row r="388" spans="1:1" ht="14.4" customHeight="1" x14ac:dyDescent="0.5">
      <c r="A388" s="39"/>
    </row>
    <row r="389" spans="1:1" ht="14.4" customHeight="1" x14ac:dyDescent="0.5">
      <c r="A389" s="39"/>
    </row>
    <row r="390" spans="1:1" ht="14.4" customHeight="1" x14ac:dyDescent="0.5">
      <c r="A390" s="39"/>
    </row>
    <row r="391" spans="1:1" ht="14.4" customHeight="1" x14ac:dyDescent="0.5">
      <c r="A391" s="39"/>
    </row>
    <row r="392" spans="1:1" ht="14.4" customHeight="1" x14ac:dyDescent="0.5">
      <c r="A392" s="39"/>
    </row>
    <row r="393" spans="1:1" ht="14.4" customHeight="1" x14ac:dyDescent="0.5">
      <c r="A393" s="39"/>
    </row>
    <row r="394" spans="1:1" ht="14.4" customHeight="1" x14ac:dyDescent="0.5">
      <c r="A394" s="39"/>
    </row>
    <row r="395" spans="1:1" ht="14.4" customHeight="1" x14ac:dyDescent="0.5">
      <c r="A395" s="39"/>
    </row>
    <row r="396" spans="1:1" ht="14.4" customHeight="1" x14ac:dyDescent="0.5">
      <c r="A396" s="39"/>
    </row>
    <row r="397" spans="1:1" ht="14.4" customHeight="1" x14ac:dyDescent="0.5">
      <c r="A397" s="39"/>
    </row>
    <row r="398" spans="1:1" ht="14.4" customHeight="1" x14ac:dyDescent="0.5">
      <c r="A398" s="39"/>
    </row>
    <row r="399" spans="1:1" ht="14.4" customHeight="1" x14ac:dyDescent="0.5">
      <c r="A399" s="39"/>
    </row>
    <row r="400" spans="1:1" ht="14.4" customHeight="1" x14ac:dyDescent="0.5">
      <c r="A400" s="39"/>
    </row>
    <row r="401" spans="1:1" ht="14.4" customHeight="1" x14ac:dyDescent="0.5">
      <c r="A401" s="39"/>
    </row>
  </sheetData>
  <mergeCells count="28">
    <mergeCell ref="A1:XFD1"/>
    <mergeCell ref="B65:AB65"/>
    <mergeCell ref="B8:AB8"/>
    <mergeCell ref="B10:AB25"/>
    <mergeCell ref="B27:AB42"/>
    <mergeCell ref="P26:Z26"/>
    <mergeCell ref="B9:O9"/>
    <mergeCell ref="P9:AB9"/>
    <mergeCell ref="B7:H7"/>
    <mergeCell ref="I7:O7"/>
    <mergeCell ref="P7:V7"/>
    <mergeCell ref="W7:AB7"/>
    <mergeCell ref="H43:W43"/>
    <mergeCell ref="B2:AB2"/>
    <mergeCell ref="B3:AB3"/>
    <mergeCell ref="B4:H4"/>
    <mergeCell ref="I4:O4"/>
    <mergeCell ref="P4:V4"/>
    <mergeCell ref="W4:AB4"/>
    <mergeCell ref="B5:H5"/>
    <mergeCell ref="I5:O5"/>
    <mergeCell ref="P5:V5"/>
    <mergeCell ref="W5:AB5"/>
    <mergeCell ref="B6:H6"/>
    <mergeCell ref="I6:O6"/>
    <mergeCell ref="P6:V6"/>
    <mergeCell ref="W6:AB6"/>
    <mergeCell ref="B26:O2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1ST</vt:lpstr>
      <vt:lpstr>2ND</vt:lpstr>
      <vt:lpstr>3RD</vt:lpstr>
      <vt:lpstr>4TH</vt:lpstr>
      <vt:lpstr>5TH</vt:lpstr>
      <vt:lpstr>PAK</vt:lpstr>
      <vt:lpstr>MASTER</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Jeel markana</dc:creator>
  <cp:lastModifiedBy>Jeel markana</cp:lastModifiedBy>
  <dcterms:created xsi:type="dcterms:W3CDTF">2026-04-02T07:27:01Z</dcterms:created>
  <dcterms:modified xsi:type="dcterms:W3CDTF">2026-04-07T11:03:10Z</dcterms:modified>
</cp:coreProperties>
</file>